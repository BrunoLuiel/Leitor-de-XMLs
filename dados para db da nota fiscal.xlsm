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DM\Documents\Python\Leitura-de-XML\"/>
    </mc:Choice>
  </mc:AlternateContent>
  <xr:revisionPtr revIDLastSave="0" documentId="13_ncr:1_{B288B898-D415-4C3A-BC2F-05AB8C96590F}" xr6:coauthVersionLast="47" xr6:coauthVersionMax="47" xr10:uidLastSave="{00000000-0000-0000-0000-000000000000}"/>
  <bookViews>
    <workbookView xWindow="-57720" yWindow="-4905" windowWidth="29040" windowHeight="15840" activeTab="1" xr2:uid="{15BEFA4F-8D25-4497-8AD4-F41FCACA51A6}"/>
  </bookViews>
  <sheets>
    <sheet name="Planilha1" sheetId="1" r:id="rId1"/>
    <sheet name="Sheet1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17" i="1" l="1"/>
  <c r="N118" i="1"/>
  <c r="N119" i="1"/>
  <c r="N120" i="1"/>
  <c r="O120" i="1" s="1"/>
  <c r="N121" i="1"/>
  <c r="N122" i="1"/>
  <c r="N123" i="1"/>
  <c r="N124" i="1"/>
  <c r="O124" i="1" s="1"/>
  <c r="N125" i="1"/>
  <c r="N126" i="1"/>
  <c r="N127" i="1"/>
  <c r="N128" i="1"/>
  <c r="O128" i="1" s="1"/>
  <c r="N129" i="1"/>
  <c r="N130" i="1"/>
  <c r="N131" i="1"/>
  <c r="N132" i="1"/>
  <c r="O132" i="1" s="1"/>
  <c r="N133" i="1"/>
  <c r="N134" i="1"/>
  <c r="N135" i="1"/>
  <c r="N136" i="1"/>
  <c r="O136" i="1" s="1"/>
  <c r="N137" i="1"/>
  <c r="N138" i="1"/>
  <c r="N139" i="1"/>
  <c r="N140" i="1"/>
  <c r="O140" i="1" s="1"/>
  <c r="N141" i="1"/>
  <c r="N142" i="1"/>
  <c r="N143" i="1"/>
  <c r="N144" i="1"/>
  <c r="O144" i="1" s="1"/>
  <c r="N145" i="1"/>
  <c r="N146" i="1"/>
  <c r="N147" i="1"/>
  <c r="N148" i="1"/>
  <c r="O148" i="1" s="1"/>
  <c r="N149" i="1"/>
  <c r="N150" i="1"/>
  <c r="N151" i="1"/>
  <c r="N152" i="1"/>
  <c r="O152" i="1" s="1"/>
  <c r="N153" i="1"/>
  <c r="N154" i="1"/>
  <c r="N155" i="1"/>
  <c r="N156" i="1"/>
  <c r="O156" i="1" s="1"/>
  <c r="N157" i="1"/>
  <c r="N158" i="1"/>
  <c r="N159" i="1"/>
  <c r="N160" i="1"/>
  <c r="O160" i="1" s="1"/>
  <c r="N161" i="1"/>
  <c r="N162" i="1"/>
  <c r="N163" i="1"/>
  <c r="N164" i="1"/>
  <c r="O164" i="1" s="1"/>
  <c r="N165" i="1"/>
  <c r="N166" i="1"/>
  <c r="N167" i="1"/>
  <c r="N168" i="1"/>
  <c r="O168" i="1" s="1"/>
  <c r="N169" i="1"/>
  <c r="N170" i="1"/>
  <c r="N171" i="1"/>
  <c r="N172" i="1"/>
  <c r="O172" i="1" s="1"/>
  <c r="N173" i="1"/>
  <c r="N174" i="1"/>
  <c r="N175" i="1"/>
  <c r="N176" i="1"/>
  <c r="O176" i="1" s="1"/>
  <c r="N177" i="1"/>
  <c r="N178" i="1"/>
  <c r="N179" i="1"/>
  <c r="N180" i="1"/>
  <c r="O180" i="1" s="1"/>
  <c r="N181" i="1"/>
  <c r="N182" i="1"/>
  <c r="N183" i="1"/>
  <c r="N184" i="1"/>
  <c r="O184" i="1" s="1"/>
  <c r="N185" i="1"/>
  <c r="N186" i="1"/>
  <c r="N187" i="1"/>
  <c r="N188" i="1"/>
  <c r="O188" i="1" s="1"/>
  <c r="N189" i="1"/>
  <c r="N190" i="1"/>
  <c r="N191" i="1"/>
  <c r="N192" i="1"/>
  <c r="O192" i="1" s="1"/>
  <c r="N193" i="1"/>
  <c r="N194" i="1"/>
  <c r="N195" i="1"/>
  <c r="N196" i="1"/>
  <c r="O196" i="1" s="1"/>
  <c r="N197" i="1"/>
  <c r="N198" i="1"/>
  <c r="N199" i="1"/>
  <c r="N200" i="1"/>
  <c r="O200" i="1" s="1"/>
  <c r="N201" i="1"/>
  <c r="N202" i="1"/>
  <c r="N203" i="1"/>
  <c r="N204" i="1"/>
  <c r="O204" i="1" s="1"/>
  <c r="N116" i="1"/>
  <c r="N115" i="1"/>
  <c r="O115" i="1" s="1"/>
  <c r="O117" i="1"/>
  <c r="O118" i="1"/>
  <c r="O119" i="1"/>
  <c r="O121" i="1"/>
  <c r="O122" i="1"/>
  <c r="O123" i="1"/>
  <c r="O125" i="1"/>
  <c r="O126" i="1"/>
  <c r="O127" i="1"/>
  <c r="O129" i="1"/>
  <c r="O130" i="1"/>
  <c r="O131" i="1"/>
  <c r="O133" i="1"/>
  <c r="O134" i="1"/>
  <c r="O135" i="1"/>
  <c r="O137" i="1"/>
  <c r="O138" i="1"/>
  <c r="O139" i="1"/>
  <c r="O141" i="1"/>
  <c r="O142" i="1"/>
  <c r="O143" i="1"/>
  <c r="O145" i="1"/>
  <c r="O146" i="1"/>
  <c r="O147" i="1"/>
  <c r="O149" i="1"/>
  <c r="O150" i="1"/>
  <c r="O151" i="1"/>
  <c r="O153" i="1"/>
  <c r="O154" i="1"/>
  <c r="O155" i="1"/>
  <c r="O157" i="1"/>
  <c r="O158" i="1"/>
  <c r="O159" i="1"/>
  <c r="O161" i="1"/>
  <c r="O162" i="1"/>
  <c r="O163" i="1"/>
  <c r="O165" i="1"/>
  <c r="O166" i="1"/>
  <c r="O167" i="1"/>
  <c r="O169" i="1"/>
  <c r="O170" i="1"/>
  <c r="O171" i="1"/>
  <c r="O173" i="1"/>
  <c r="O174" i="1"/>
  <c r="O175" i="1"/>
  <c r="O177" i="1"/>
  <c r="O178" i="1"/>
  <c r="O179" i="1"/>
  <c r="O181" i="1"/>
  <c r="O182" i="1"/>
  <c r="O183" i="1"/>
  <c r="O185" i="1"/>
  <c r="O186" i="1"/>
  <c r="O187" i="1"/>
  <c r="O189" i="1"/>
  <c r="O190" i="1"/>
  <c r="O191" i="1"/>
  <c r="O193" i="1"/>
  <c r="O194" i="1"/>
  <c r="O195" i="1"/>
  <c r="O197" i="1"/>
  <c r="O198" i="1"/>
  <c r="O199" i="1"/>
  <c r="O201" i="1"/>
  <c r="O202" i="1"/>
  <c r="O203" i="1"/>
  <c r="O205" i="1"/>
  <c r="N56" i="1"/>
  <c r="N38" i="1"/>
  <c r="O38" i="1" s="1"/>
  <c r="N20" i="1"/>
  <c r="O20" i="1" s="1"/>
  <c r="N19" i="1"/>
  <c r="O19" i="1" s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O55" i="1" s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10" i="1"/>
  <c r="N111" i="1"/>
  <c r="O111" i="1" s="1"/>
  <c r="N112" i="1"/>
  <c r="N113" i="1"/>
  <c r="N114" i="1"/>
  <c r="N3" i="1"/>
  <c r="O3" i="1" s="1"/>
  <c r="N2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3" i="1"/>
  <c r="M4" i="1"/>
  <c r="M5" i="1"/>
  <c r="M6" i="1"/>
  <c r="O6" i="1" s="1"/>
  <c r="M8" i="1"/>
  <c r="M9" i="1"/>
  <c r="M10" i="1"/>
  <c r="O10" i="1" s="1"/>
  <c r="M11" i="1"/>
  <c r="M2" i="1"/>
  <c r="O2" i="1" s="1"/>
  <c r="O12" i="1"/>
  <c r="O37" i="1"/>
  <c r="O70" i="1"/>
  <c r="O108" i="1"/>
  <c r="O109" i="1"/>
  <c r="O1" i="1"/>
  <c r="O4" i="1"/>
  <c r="O5" i="1"/>
  <c r="O8" i="1"/>
  <c r="O11" i="1"/>
  <c r="O13" i="1"/>
  <c r="O14" i="1"/>
  <c r="O16" i="1"/>
  <c r="O17" i="1"/>
  <c r="O18" i="1"/>
  <c r="O21" i="1"/>
  <c r="O22" i="1"/>
  <c r="O24" i="1"/>
  <c r="O25" i="1"/>
  <c r="O26" i="1"/>
  <c r="O28" i="1"/>
  <c r="O29" i="1"/>
  <c r="O30" i="1"/>
  <c r="O32" i="1"/>
  <c r="O33" i="1"/>
  <c r="O34" i="1"/>
  <c r="O36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6" i="1"/>
  <c r="O57" i="1"/>
  <c r="O58" i="1"/>
  <c r="O60" i="1"/>
  <c r="O61" i="1"/>
  <c r="O62" i="1"/>
  <c r="O64" i="1"/>
  <c r="O65" i="1"/>
  <c r="O66" i="1"/>
  <c r="O68" i="1"/>
  <c r="O69" i="1"/>
  <c r="O72" i="1"/>
  <c r="O73" i="1"/>
  <c r="O74" i="1"/>
  <c r="O76" i="1"/>
  <c r="O77" i="1"/>
  <c r="O78" i="1"/>
  <c r="O80" i="1"/>
  <c r="O81" i="1"/>
  <c r="O82" i="1"/>
  <c r="O84" i="1"/>
  <c r="O85" i="1"/>
  <c r="O86" i="1"/>
  <c r="O88" i="1"/>
  <c r="O89" i="1"/>
  <c r="O90" i="1"/>
  <c r="O92" i="1"/>
  <c r="O93" i="1"/>
  <c r="O94" i="1"/>
  <c r="O96" i="1"/>
  <c r="O97" i="1"/>
  <c r="O98" i="1"/>
  <c r="O100" i="1"/>
  <c r="O101" i="1"/>
  <c r="O102" i="1"/>
  <c r="O104" i="1"/>
  <c r="O105" i="1"/>
  <c r="O106" i="1"/>
  <c r="O110" i="1"/>
  <c r="O112" i="1"/>
  <c r="O113" i="1"/>
  <c r="O114" i="1"/>
  <c r="O116" i="1" l="1"/>
  <c r="O107" i="1"/>
  <c r="O103" i="1"/>
  <c r="O99" i="1"/>
  <c r="O95" i="1"/>
  <c r="O91" i="1"/>
  <c r="O87" i="1"/>
  <c r="O83" i="1"/>
  <c r="O79" i="1"/>
  <c r="O75" i="1"/>
  <c r="O71" i="1"/>
  <c r="O67" i="1"/>
  <c r="O63" i="1"/>
  <c r="O59" i="1"/>
  <c r="O35" i="1"/>
  <c r="O31" i="1"/>
  <c r="O27" i="1"/>
  <c r="O23" i="1"/>
  <c r="O15" i="1"/>
</calcChain>
</file>

<file path=xl/sharedStrings.xml><?xml version="1.0" encoding="utf-8"?>
<sst xmlns="http://schemas.openxmlformats.org/spreadsheetml/2006/main" count="253" uniqueCount="247">
  <si>
    <t xml:space="preserve">    nat_op </t>
  </si>
  <si>
    <t>nat_op</t>
  </si>
  <si>
    <t>chave</t>
  </si>
  <si>
    <t>doc_entrega</t>
  </si>
  <si>
    <t>doc_trans</t>
  </si>
  <si>
    <t>chave=self.check_none(root.find('./ns:protNFe/ns:infProt/ns:chNFe',nsNFe))</t>
  </si>
  <si>
    <t>    nat_op=self.check_none(root.find("./ns:NFe/ns:infNFe/ns:ide/ns:natOp",nsNFe))</t>
  </si>
  <si>
    <t>    mod=self.check_none(root.find("./ns:NFe/ns:infNFe/ns:ide/ns:mod",nsNFe))</t>
  </si>
  <si>
    <t>    nfe=self.check_none(root.find("./ns:NFe/ns:infNFe/ns:ide/ns:nNF",nsNFe))</t>
  </si>
  <si>
    <t>    serie=self.check_none(root.find("./ns:NFe/ns:infNFe/ns:ide/ns:serie",nsNFe))</t>
  </si>
  <si>
    <t>    data_emissao=self.check_none(root.find("./ns:NFe/ns:infNFe/ns:ide/ns:dhEmi",nsNFe))</t>
  </si>
  <si>
    <t>    data_emissao=f'{data_emissao[8:10]}/{data_emissao[5:7]}/{data_emissao[:4]}'</t>
  </si>
  <si>
    <t>    data_saient=self.check_none(root.find("./ns:NFe/ns:infNFe/ns:ide/ns:dhSaiEnt",nsNFe))</t>
  </si>
  <si>
    <t>    data_saient=f'{data_saient[8:10]}/{data_saient[5:7]}/{data_saient[:4]}'</t>
  </si>
  <si>
    <t>    tp_nf=self.check_none(root.find("./ns:NFe/ns:infNFe/ns:ide/ns:tpNF",nsNFe))</t>
  </si>
  <si>
    <t>    cod_mun_fg=self.check_none(root.find("./ns:NFe/ns:infNFe/ns:ide/ns:cMunFG",nsNFe))#Códigodomunicipiodofatogerador</t>
  </si>
  <si>
    <t>    id_dest=self.check_none(root.find("./ns:NFe/ns:infNFe/ns:ide/ns:idDest",nsNFe))#Identificadordodestinodaoperação(1-Interna;2-Interestadual;3-Exterior)</t>
  </si>
  <si>
    <t>    tp_imp=self.check_none(root.find("./ns:NFe/ns:infNFe/ns:ide/ns:tpImp",nsNFe))#FormatodeimpressãodoDANFE(0-semDANFE;1-DANFeRetrato;2-DANFePaisagem;3-DANFeSimplificado;4-DANFeNFC-e;5-DANFeNFC-eemmensagemeletrônica)</t>
  </si>
  <si>
    <t>    tp_emi=self.check_none(root.find("./ns:NFe/ns:infNFe/ns:ide/ns:tpEmis",nsNFe))#FormadeemissãodaNF-e:1-Normal;2-ContingênciaFS;3-RegimeEspecialNFF(NT2021.002);4-ContingênciaDPEC;5-ContingênciaFSDA;6-ContingênciaSVC-AN;7-ContingênciaSVC-RS;9-Contingênciaoff-lineNFC-e</t>
  </si>
  <si>
    <t>    tp_amb=self.check_none(root.find("./ns:NFe/ns:infNFe/ns:ide/ns:tpAmb",nsNFe))#1-Produção;2-Homologação</t>
  </si>
  <si>
    <t>    fin_nfe=self.check_none(root.find("./ns:NFe/ns:infNFe/ns:ide/ns:finNFe",nsNFe))#1-NFenormal;2-NFecomplementar;3-NFedeajuste;4-Devolução/Retorno</t>
  </si>
  <si>
    <t>    ind_pres=self.check_none(root.find("./ns:NFe/ns:infNFe/ns:ide/ns:indPres",nsNFe))#Indicadordepresençadocompradornoestabelecimentocomercialnomomentodaoepração(0-Nãoseaplica(ex.:NotaFiscalcomplementaroudeajuste;1-Operaçãopresencial;2-Nãopresencial,internet;3-Nãopresencial,teleatendimento;4-NFC-eentregaemdomicílio;5-Operaçãopresencial,foradoestabelecimento;9-Nãopresencial,outros)</t>
  </si>
  <si>
    <t>    nome_emit=self.check_none(root.find('./ns:NFe/ns:infNFe/ns:emit/ns:xNome',nsNFe))</t>
  </si>
  <si>
    <t>    fantasia_emit=self.check_none(root.find('./ns:NFe/ns:infNFe/ns:emit/ns:xFant',nsNFe))</t>
  </si>
  <si>
    <t>    rua_emit=self.check_none(root.find('./ns:NFe/ns:infNFe/ns:emit/ns:enderEmit/ns:xLgr',nsNFe))</t>
  </si>
  <si>
    <t>    nro_emit=self.check_none(root.find('./ns:NFe/ns:infNFe/ns:emit/ns:enderEmit/ns:nro',nsNFe))</t>
  </si>
  <si>
    <t>    bairro_emit=self.check_none(root.find('./ns:NFe/ns:infNFe/ns:emit/ns:enderEmit/ns:xBairro',nsNFe))</t>
  </si>
  <si>
    <t>    cod_mun_emit=self.check_none(root.find('./ns:NFe/ns:infNFe/ns:emit/ns:enderEmit/ns:cMun',nsNFe))</t>
  </si>
  <si>
    <t>    mun_emit=self.check_none(root.find('./ns:NFe/ns:infNFe/ns:emit/ns:enderEmit/ns:xMun',nsNFe))</t>
  </si>
  <si>
    <t>    uf_emit=self.check_none(root.find('./ns:NFe/ns:infNFe/ns:emit/ns:enderEmit/ns:UF',nsNFe))</t>
  </si>
  <si>
    <t>    cep_emit=self.check_none(root.find('./ns:NFe/ns:infNFe/ns:emit/ns:enderEmit/ns:CEP',nsNFe))</t>
  </si>
  <si>
    <t>    cod_pais_emit=self.check_none(root.find('./ns:NFe/ns:infNFe/ns:emit/ns:enderEmit/ns:cPais',nsNFe))</t>
  </si>
  <si>
    <t>    pais_emit=self.check_none(root.find('./ns:NFe/ns:infNFe/ns:emit/ns:enderEmit/ns:xPais',nsNFe))</t>
  </si>
  <si>
    <t>    fone_emit=self.check_none(root.find('./ns:NFe/ns:infNFe/ns:emit/ns:enderEmit/ns:fone',nsNFe))</t>
  </si>
  <si>
    <t>    ie_emit=self.check_none(root.find('./ns:NFe/ns:infNFe/ns:emit/ns:IE',nsNFe))</t>
  </si>
  <si>
    <t>    cnae_fiscal=self.check_none(root.find('./ns:NFe/ns:infNFe/ns:emit/ns:CNAE',nsNFe))</t>
  </si>
  <si>
    <t>    crt_emit=self.check_none(root.find('./ns:NFe/ns:infNFe/ns:emit/ns:CRT',nsNFe))#1–SimplesNacional;2–SimplesNacional–excessodesublimitedereceitabruta;3–RegimeNormal.</t>
  </si>
  <si>
    <t>    cnpj_avulsa=self.check_none(root.find("./ns:NFe/ns:infNFe/ns:avulsa/ns:CNPJ",nsNFe))#CNPJdoorgãoemissor</t>
  </si>
  <si>
    <t>    nome_avulsa=self.check_none(root.find("./ns:NFe/ns:infNFe/ns:avulsa/ns:xOrgao",nsNFe))</t>
  </si>
  <si>
    <t>    nome_dest=self.check_none(root.find('./ns:NFe/ns:infNFe/ns:dest/ns:xNome',nsNFe))</t>
  </si>
  <si>
    <t>    rua_dest=self.check_none(root.find('./ns:NFe/ns:infNFe/ns:dest/ns:enderDest/ns:xLgr',nsNFe))</t>
  </si>
  <si>
    <t>    nro_dest=self.check_none(root.find('./ns:NFe/ns:infNFe/ns:dest/ns:enderDest/ns:nro',nsNFe))</t>
  </si>
  <si>
    <t>    cpl_dest=self.check_none(root.find('./ns:NFe/ns:infNFe/ns:dest/ns:enderDest/ns:xCpl',nsNFe))#Complemento</t>
  </si>
  <si>
    <t>    bairro_dest=self.check_none(root.find('./ns:NFe/ns:infNFe/ns:dest/ns:enderDest/ns:xBairro',nsNFe))</t>
  </si>
  <si>
    <t>    cod_mun_dest=self.check_none(root.find('./ns:NFe/ns:infNFe/ns:dest/ns:enderDest/ns:cMun',nsNFe))</t>
  </si>
  <si>
    <t>    mun_dest=self.check_none(root.find('./ns:NFe/ns:infNFe/ns:dest/ns:enderDest/ns:xMun',nsNFe))</t>
  </si>
  <si>
    <t>    uf_dest=self.check_none(root.find('./ns:NFe/ns:infNFe/ns:dest/ns:enderDest/ns:UF',nsNFe))</t>
  </si>
  <si>
    <t>    cep_dest=self.check_none(root.find('./ns:NFe/ns:infNFe/ns:dest/ns:enderDest/ns:CEP',nsNFe))</t>
  </si>
  <si>
    <t>    cod_pais_dest=self.check_none(root.find('./ns:NFe/ns:infNFe/ns:dest/ns:enderDest/ns:cPais',nsNFe))</t>
  </si>
  <si>
    <t>    pais_dest=self.check_none(root.find('./ns:NFe/ns:infNFe/ns:dest/ns:enderDest/ns:xPais',nsNFe))</t>
  </si>
  <si>
    <t>    fone_dest=self.check_none(root.find('./ns:NFe/ns:infNFe/ns:dest/ns:enderDest/ns:fone',nsNFe))</t>
  </si>
  <si>
    <t>    sit_ie_dest=self.check_none(root.find('./ns:NFe/ns:infNFe/ns:dest/ns:indIEDest',nsNFe))#IndicadordaIEdodestinatário:1–ContribuinteICMSpagamentoàvista;2–Contribuinteisentodeinscrição;9–NãoContribuinte</t>
  </si>
  <si>
    <t>    ie_dest=self.check_none(root.find('./ns:NFe/ns:infNFe/ns:dest/ns:IE',nsNFe))</t>
  </si>
  <si>
    <t>    isuf_dest=self.check_none(root.find('./ns:NFe/ns:infNFe/ns:dest/ns:ISUF',nsNFe))#Suframa</t>
  </si>
  <si>
    <t>    im_dest=self.check_none(root.find('./ns:NFe/ns:infNFe/ns:dest/ns:IM',nsNFe))#InscriçãoMunicipal</t>
  </si>
  <si>
    <t>    email_dest=self.check_none(root.find('./ns:NFe/ns:infNFe/ns:dest/ns:email',nsNFe))</t>
  </si>
  <si>
    <t>    nome_retirada=self.check_none(root.find('./ns:NFe/ns:infNFe/ns:retirada/ns:xNome',nsNFe))</t>
  </si>
  <si>
    <t>    rua_retirada=self.check_none(root.find('./ns:NFe/ns:infNFe/ns:retirada/ns:xLgr',nsNFe))</t>
  </si>
  <si>
    <t>    nro_retirada=self.check_none(root.find('./ns:NFe/ns:infNFe/ns:retirada/ns:nro',nsNFe))</t>
  </si>
  <si>
    <t>    cpl_retirada=self.check_none(root.find('./ns:NFe/ns:infNFe/ns:retirada/ns:xCpl',nsNFe))#Complemento</t>
  </si>
  <si>
    <t>    bairro_retirada=self.check_none(root.find('./ns:NFe/ns:infNFe/ns:retirada/ns:xBairro',nsNFe))</t>
  </si>
  <si>
    <t>    cod_mun_retirada=self.check_none(root.find('./ns:NFe/ns:infNFe/ns:retirada/ns:cMun',nsNFe))</t>
  </si>
  <si>
    <t>    mun_retirada=self.check_none(root.find('./ns:NFe/ns:infNFe/ns:retirada/ns:xMun',nsNFe))</t>
  </si>
  <si>
    <t>    uf_retirada=self.check_none(root.find('./ns:NFe/ns:infNFe/ns:retirada/ns:UF',nsNFe))</t>
  </si>
  <si>
    <t>    cep_retirada=self.check_none(root.find('./ns:NFe/ns:infNFe/ns:retirada/ns:CEP',nsNFe))</t>
  </si>
  <si>
    <t>    cod_pais_retirada=self.check_none(root.find('./ns:NFe/ns:infNFe/ns:retirada/ns:cPais',nsNFe))</t>
  </si>
  <si>
    <t>    pais_retirada=self.check_none(root.find('./ns:NFe/ns:infNFe/ns:retirada/ns:xPais',nsNFe))</t>
  </si>
  <si>
    <t>    fone_retirada=self.check_none(root.find('./ns:NFe/ns:infNFe/ns:retirada/ns:fone',nsNFe))</t>
  </si>
  <si>
    <t>    email_retirada=self.check_none(root.find('./ns:NFe/ns:infNFe/ns:retirada/ns:email',nsNFe))</t>
  </si>
  <si>
    <t>    ie_retirada=self.check_none(root.find('./ns:NFe/ns:infNFe/ns:retirada/ns:IE',nsNFe))</t>
  </si>
  <si>
    <t>    nome_entrega=self.check_none(root.find('./ns:NFe/ns:infNFe/ns:entrega/ns:xNome',nsNFe))</t>
  </si>
  <si>
    <t>    rua_entrega=self.check_none(root.find('./ns:NFe/ns:infNFe/ns:entrega/ns:xLgr',nsNFe))</t>
  </si>
  <si>
    <t>    nro_entrega=self.check_none(root.find('./ns:NFe/ns:infNFe/ns:entrega/ns:nro',nsNFe))</t>
  </si>
  <si>
    <t>    cpl_entrega=self.check_none(root.find('./ns:NFe/ns:infNFe/ns:entrega/ns:xCpl',nsNFe))#Complemento</t>
  </si>
  <si>
    <t>    bairro_entrega=self.check_none(root.find('./ns:NFe/ns:infNFe/ns:entrega/ns:xBairro',nsNFe))</t>
  </si>
  <si>
    <t>    cod_mun_entrega=self.check_none(root.find('./ns:NFe/ns:infNFe/ns:entrega/ns:cMun',nsNFe))</t>
  </si>
  <si>
    <t>    mun_entrega=self.check_none(root.find('./ns:NFe/ns:infNFe/ns:entrega/ns:xMun',nsNFe))</t>
  </si>
  <si>
    <t>    uf_entrega=self.check_none(root.find('./ns:NFe/ns:infNFe/ns:entrega/ns:UF',nsNFe))</t>
  </si>
  <si>
    <t>    cep_entrega=self.check_none(root.find('./ns:NFe/ns:infNFe/ns:entrega/ns:CEP',nsNFe))</t>
  </si>
  <si>
    <t>    cod_pais_entrega=self.check_none(root.find('./ns:NFe/ns:infNFe/ns:entrega/ns:cPais',nsNFe))</t>
  </si>
  <si>
    <t>    pais_entrega=self.check_none(root.find('./ns:NFe/ns:infNFe/ns:entrega/ns:xPais',nsNFe))</t>
  </si>
  <si>
    <t>    fone_entrega=self.check_none(root.find('./ns:NFe/ns:infNFe/ns:entrega/ns:fone',nsNFe))</t>
  </si>
  <si>
    <t>    email_entrega=self.check_none(root.find('./ns:NFe/ns:infNFe/ns:entrega/ns:email',nsNFe))</t>
  </si>
  <si>
    <t>    ie_entrega=self.check_none(root.find('./ns:NFe/ns:infNFe/ns:entrega/ns:IE',nsNFe))</t>
  </si>
  <si>
    <t>    t_bc_icms=self.check_none(root.find("./ns:NFe/ns:infNFe/ns:total/ns:ICMSTot/ns:vBC",nsNFe))</t>
  </si>
  <si>
    <t>    t_v_icms=self.check_none(root.find("./ns:NFe/ns:infNFe/ns:total/ns:ICMSTot/ns:vICMS",nsNFe))</t>
  </si>
  <si>
    <t>    t_v_deso=self.check_none(root.find("./ns:NFe/ns:infNFe/ns:total/ns:ICMSTot/ns:vICMSDeson",nsNFe))</t>
  </si>
  <si>
    <t>    pcfufdest=self.check_none(root.find("./ns:NFe/ns:infNFe/ns:total/ns:ICMSTot/ns:vFCPUFDest",nsNFe))</t>
  </si>
  <si>
    <t>    icmsufdest=self.check_none(root.find("./ns:NFe/ns:infNFe/ns:total/ns:ICMSTot/ns:vICMSUFDest",nsNFe))</t>
  </si>
  <si>
    <t>    icmsufremet=self.check_none(root.find("./ns:NFe/ns:infNFe/ns:total/ns:ICMSTot/ns:vICMSUFRemet",nsNFe))</t>
  </si>
  <si>
    <t>    t_fcp=self.check_none(root.find("./ns:NFe/ns:infNFe/ns:total/ns:ICMSTot/ns:vFCP",nsNFe))</t>
  </si>
  <si>
    <t>    t_bcst=self.check_none(root.find("./ns:NFe/ns:infNFe/ns:total/ns:ICMSTot/ns:vBCST",nsNFe))</t>
  </si>
  <si>
    <t>    t_st=self.check_none(root.find("./ns:NFe/ns:infNFe/ns:total/ns:ICMSTot/ns:vST",nsNFe))</t>
  </si>
  <si>
    <t>    t_fcpst=self.check_none(root.find("./ns:NFe/ns:infNFe/ns:total/ns:ICMSTot/ns:vFCPST",nsNFe))</t>
  </si>
  <si>
    <t>    t_fcpst_ret=self.check_none(root.find("./ns:NFe/ns:infNFe/ns:total/ns:ICMSTot/ns:vFCPSTRet",nsNFe))</t>
  </si>
  <si>
    <t>    t_vprod=self.check_none(root.find("./ns:NFe/ns:infNFe/ns:total/ns:ICMSTot/ns:vProd",nsNFe))</t>
  </si>
  <si>
    <t>    t_vfrete=self.check_none(root.find("./ns:NFe/ns:infNFe/ns:total/ns:ICMSTot/ns:vFrete",nsNFe))</t>
  </si>
  <si>
    <t>    t_vseguro=self.check_none(root.find("./ns:NFe/ns:infNFe/ns:total/ns:ICMSTot/ns:vSeg",nsNFe))</t>
  </si>
  <si>
    <t>    t_vdesc=self.check_none(root.find("./ns:NFe/ns:infNFe/ns:total/ns:ICMSTot/ns:vDesc",nsNFe))</t>
  </si>
  <si>
    <t>    t_vii=self.check_none(root.find("./ns:NFe/ns:infNFe/ns:total/ns:ICMSTot/ns:vII",nsNFe))</t>
  </si>
  <si>
    <t>    t_vipi=self.check_none(root.find("./ns:NFe/ns:infNFe/ns:total/ns:ICMSTot/ns:vIPI",nsNFe))</t>
  </si>
  <si>
    <t>    t_vpis=self.check_none(root.find("./ns:NFe/ns:infNFe/ns:total/ns:ICMSTot/ns:vPIS",nsNFe))</t>
  </si>
  <si>
    <t>    t_vcofins=self.check_none(root.find("./ns:NFe/ns:infNFe/ns:total/ns:ICMSTot/ns:vCOFINS",nsNFe))</t>
  </si>
  <si>
    <t>    t_voutro=self.check_none(root.find("./ns:NFe/ns:infNFe/ns:total/ns:ICMSTot/ns:vOutro",nsNFe))</t>
  </si>
  <si>
    <t>    t_nf=self.check_none(root.find("./ns:NFe/ns:infNFe/ns:total/ns:ICMSTot/ns:vNF",nsNFe))</t>
  </si>
  <si>
    <t>    t_trib=self.check_none(root.find("./ns:NFe/ns:infNFe/ns:total/ns:ICMSTot/ns:vTotTrib",nsNFe))  </t>
  </si>
  <si>
    <t>    modfrete=self.check_none(root.find("./ns:NFe/ns:infNFe/ns:transp/ns:modFrete",nsNFe))</t>
  </si>
  <si>
    <t>    nome_trans=self.check_none(root.find('./ns:NFe/ns:infNFe/ns:transp/ns:transporta/ns:xNome',nsNFe))</t>
  </si>
  <si>
    <t>    ie_trans=self.check_none(root.find('./ns:NFe/ns:infNFe/ns:transp/ns:transporta/ns:IE',nsNFe))</t>
  </si>
  <si>
    <t>    ender_trans=self.check_none(root.find('./ns:NFe/ns:infNFe/ns:transp/ns:transporta/ns:xEnder',nsNFe))</t>
  </si>
  <si>
    <t>    mun_trans=self.check_none(root.find('./ns:NFe/ns:infNFe/ns:transp/ns:transporta/ns:xMun',nsNFe))</t>
  </si>
  <si>
    <t>    uf_trans=self.check_none(root.find('./ns:NFe/ns:infNFe/ns:transp/ns:transporta/ns:UF',nsNFe))</t>
  </si>
  <si>
    <t>    data_importacao=date.today()</t>
  </si>
  <si>
    <t>      cod_item= self.check_none(item.find(".ns:prod/ns:cProd",nsNFe))</t>
  </si>
  <si>
    <t>      c_ean=self.check_none(item.find(".ns:prod/ns:cEAN",nsNFe))</t>
  </si>
  <si>
    <t>      c_barra=self.check_none(item.find(".ns:prod/ns:cBarra",nsNFe))</t>
  </si>
  <si>
    <t>      descricao_item=self.check_none(item.find('.ns:prod/ns:xProd',nsNFe))</t>
  </si>
  <si>
    <t>      ncm=self.check_none(item.find('.ns:prod/ns:NCM',nsNFe))</t>
  </si>
  <si>
    <t>      nve=self.check_none(item.find('.ns:prod/ns:NVE',nsNFe))</t>
  </si>
  <si>
    <t>      cest=self.check_none(item.find('.ns:prod/ns:CEST',nsNFe))</t>
  </si>
  <si>
    <t>      cfop=self.check_none(item.find('.ns:prod/ns:CFOP',nsNFe))</t>
  </si>
  <si>
    <t>      un_medida=self.check_none(item.find('.ns:prod/ns:uCom',nsNFe))</t>
  </si>
  <si>
    <t>      qtd_item=self.check_none(item.find('.ns:prod/ns:qCom',nsNFe))</t>
  </si>
  <si>
    <t>      vlr_unit_item=self.check_none(item.find('.ns:prod/ns:vUnCom',nsNFe))</t>
  </si>
  <si>
    <t>      vlr_item=self.check_none(item.find('.ns:prod/ns:vProd',nsNFe))</t>
  </si>
  <si>
    <t>      ind_escala=self.check_none(item.find('.ns:prod/ns:indEscala',nsNFe))</t>
  </si>
  <si>
    <t>      cnpj_fab=self.check_none(item.find('.ns:prod/ns:CNPJFab',nsNFe))</t>
  </si>
  <si>
    <t>      c_benef=self.check_none(item.find('.ns:prod/ns:cBenef',nsNFe))</t>
  </si>
  <si>
    <t>      ex_tipi=self.check_none(item.find('.ns:prod/ns:EXTIPI',nsNFe))</t>
  </si>
  <si>
    <t>      u_trib=self.check_none(item.find('.ns:prod/ns:uTrib',nsNFe))</t>
  </si>
  <si>
    <t>      q_trib=self.check_none(item.find('.ns:prod/ns:qTrib',nsNFe))</t>
  </si>
  <si>
    <t>      v_un_trib=trib=self.check_none(item.find('.ns:prod/ns:vUnTrib',nsNFe))</t>
  </si>
  <si>
    <t>      v_frete=trib=self.check_none(item.find('.ns:prod/ns:vFrete',nsNFe))</t>
  </si>
  <si>
    <t>      v_seg=self.check_none(item.find('.ns:prod/ns:vSeg',nsNFe))</t>
  </si>
  <si>
    <t>      v_desc=self.check_none(item.find('.ns:prod/ns:vDesc',nsNFe))</t>
  </si>
  <si>
    <t>      v_outro=self.check_none(item.find('.ns:prod/ns:vOutro',nsNFe))</t>
  </si>
  <si>
    <t>      ind_tot=self.check_none(item.find('.ns:prod/ns:indTot',nsNFe))</t>
  </si>
  <si>
    <t>      orig=self.check_none(item.find(f'.ns:imposto/ns:ICMS{cada}/ns:orig',nsNFe))</t>
  </si>
  <si>
    <t>      cst_csosn=self.check_none(item.find(f'.ns:imposto/ns:ICMS{cada}/ns:CSOSN',nsNFe))</t>
  </si>
  <si>
    <t>      orig_part=self.check_none(item.find('.ns:imposto/ns:ICMS/ns:ICMSPart/ns:orig',nsNFe))</t>
  </si>
  <si>
    <t>      cst_part=self.check_none(item.find('.ns:imposto/ns:ICMS/ns:ICMSPart/ns:CST',nsNFe))</t>
  </si>
  <si>
    <t>      mod_bc=self.check_none(item.find('.ns:imposto/ns:ICMS/ns:ICMSPart/ns:modBC',nsNFe))</t>
  </si>
  <si>
    <t>      v_bc=self.check_none(item.find('.ns:imposto/ns:ICMS/ns:ICMSPart/ns:vBC',nsNFe))</t>
  </si>
  <si>
    <t>      red_bc=self.check_none(item.find('.ns:imposto/ns:ICMS/ns:ICMSPart/ns:pRedBC',nsNFe))</t>
  </si>
  <si>
    <t>      icms_part=self.check_none(item.find('.ns:imposto/ns:ICMS/ns:ICMSPart/ns:pICMS',nsNFe))</t>
  </si>
  <si>
    <t>      v_icms_part=self.check_none(item.find('.ns:imposto/ns:ICMS/ns:ICMSPart/ns:vICMS',nsNFe))</t>
  </si>
  <si>
    <t>      mod_bcst=self.check_none(item.find('.ns:imposto/ns:ICMS/ns:ICMSPart/ns:modBCST',nsNFe))</t>
  </si>
  <si>
    <t>      mva_st_part=self.check_none(item.find('.ns:imposto/ns:ICMS/ns:ICMSPart/ns:pMVAST',nsNFe))</t>
  </si>
  <si>
    <t>      red_bc_st=self.check_none(item.find('.ns:imposto/ns:ICMS/ns:ICMSPart/ns:pRedBCST',nsNFe))</t>
  </si>
  <si>
    <t>      bc_st_part=self.check_none(item.find('.ns:imposto/ns:ICMS/ns:ICMSPart/ns:vBCST',nsNFe))</t>
  </si>
  <si>
    <t>      icms_st=self.check_none(item.find('.ns:imposto/ns:ICMS/ns:ICMSPart/ns:pICMSST',nsNFe))</t>
  </si>
  <si>
    <t>      pBCOp=self.check_none(item.find('.ns:imposto/ns:ICMS/ns:ICMSPart/ns:pBCOp',nsNFe))</t>
  </si>
  <si>
    <t>      uf_st=self.check_none(item.find('.ns:imposto/ns:ICMS/ns:ICMSPart/ns:UFST',nsNFe))</t>
  </si>
  <si>
    <t>      orig_st=self.check_none(item.find('.ns:imposto/ns:ICMS/ns:ICMSST/ns:orig',nsNFe))</t>
  </si>
  <si>
    <t>      cst_st=self.check_none(item.find('.ns:imposto/ns:ICMS/ns:ICMSST/ns:CST',nsNFe))</t>
  </si>
  <si>
    <t>      bc_st_ret=self.check_none(item.find('.ns:imposto/ns:ICMS/ns:ICMSST/ns:vBCSTRet',nsNFe))</t>
  </si>
  <si>
    <t>      st=self.check_none(item.find('.ns:imposto/ns:ICMS/ns:ICMSST/ns:pST',nsNFe))</t>
  </si>
  <si>
    <t>      v_st=self.check_none(item.find('.ns:imposto/ns:ICMS/ns:ICMSST/ns:vICMSSubstituto',nsNFe))</t>
  </si>
  <si>
    <t>      v_st_ret=self.check_none(item.find('.ns:imposto/ns:ICMS/ns:ICMSST/ns:vICMSSTRet',nsNFe))</t>
  </si>
  <si>
    <t>      v_bcfcpst_ret=self.check_none(item.find('.ns:imposto/ns:ICMS/ns:ICMSST/ns:vBCFCPSTRet',nsNFe))</t>
  </si>
  <si>
    <t>      p_fcpst_ret=self.check_none(item.find('.ns:imposto/ns:ICMS/ns:ICMSST/ns:pFCPSTRet',nsNFe))</t>
  </si>
  <si>
    <t>      v_fcpst_ret=self.check_none(item.find('.ns:imposto/ns:ICMS/ns:ICMSST/ns:vFCPSTRet',nsNFe))</t>
  </si>
  <si>
    <t>      v_bcst_dest=self.check_none(item.find('.ns:imposto/ns:ICMS/ns:ICMSST/ns:vBCSTDest',nsNFe))</t>
  </si>
  <si>
    <t>      v_icms_st_dest=self.check_none(item.find('.ns:imposto/ns:ICMS/ns:ICMSST/ns:vICMSSTDest',nsNFe))</t>
  </si>
  <si>
    <t>      p_redbcefet=self.check_none(item.find('.ns:imposto/ns:ICMS/ns:ICMSST/ns:pRedBCEfet',nsNFe))</t>
  </si>
  <si>
    <t>      v_bcefet=self.check_none(item.find('.ns:imposto/ns:ICMS/ns:ICMSST/ns:vBCEfet',nsNFe))</t>
  </si>
  <si>
    <t>      p_icms_efet=self.check_none(item.find('.ns:imposto/ns:ICMS/ns:ICMSST/ns:pICMSEfet',nsNFe))</t>
  </si>
  <si>
    <t>      v_icms_efet=self.check_none(item.find('.ns:imposto/ns:ICMS/ns:ICMSST/ns:vICMSEfet',nsNFe))</t>
  </si>
  <si>
    <t>      cst_ipi=self.check_none(item.find('.ns:imposto/ns:IPI/ns:IPITrib/ns:CST',nsNFe))</t>
  </si>
  <si>
    <t>      bc_ipi=self.check_none(item.find('.ns:imposto/ns:IPI/ns:IPITrib/ns:vBC',nsNFe))</t>
  </si>
  <si>
    <t>      p_ipi=self.check_none(item.find('.ns:imposto/ns:IPI/ns:IPITrib/ns:pIPI',nsNFe))</t>
  </si>
  <si>
    <t>      q_unid_ipi=self.check_none(item.find('.ns:imposto/ns:IPI/ns:IPITrib/ns:qUnid',nsNFe))</t>
  </si>
  <si>
    <t>      v_unid_ipi=self.check_none(item.find('.ns:imposto/ns:IPI/ns:IPITrib/ns:vUnid',nsNFe))</t>
  </si>
  <si>
    <t>      v_ipi=self.check_none(item.find('.ns:imposto/ns:IPI/ns:IPITrib/ns:vIPI',nsNFe))</t>
  </si>
  <si>
    <t>      cst_int=self.check_none(item.find('.ns:imposto/ns:IPI/ns:IPINT/ns:CST',nsNFe))</t>
  </si>
  <si>
    <t>      v_bc_ii=self.check_none(item.find('.ns:imposto/ns:II/ns:vBC',nsNFe))</t>
  </si>
  <si>
    <t>      v_desp_adu=self.check_none(item.find('.ns:imposto/ns:II/ns:vDespAdu',nsNFe))</t>
  </si>
  <si>
    <t>      v_ii=self.check_none(item.find('.ns:imposto/ns:II/ns:vII',nsNFe))</t>
  </si>
  <si>
    <t>      v_iof=self.check_none(item.find('.ns:imposto/ns:II/ns:vIOF',nsNFe))</t>
  </si>
  <si>
    <t>      v_bc_iss=self.check_none(item.find('.ns:imposto/ns:ISSQN/ns:vBC',nsNFe))</t>
  </si>
  <si>
    <t>      alq_iss=self.check_none(item.find('.ns:imposto/ns:ISSQN/ns:vAliq',nsNFe))</t>
  </si>
  <si>
    <t>      v_iss=self.check_none(item.find('.ns:imposto/ns:ISSQN/ns:vISSQN',nsNFe))</t>
  </si>
  <si>
    <t>      c_mun_fg_iss=self.check_none(item.find('.ns:imposto/ns:ISSQN/ns:cMunFG',nsNFe))</t>
  </si>
  <si>
    <t>      c_serv=self.check_none(item.find('.ns:imposto/ns:ISSQN/ns:cListServ',nsNFe))</t>
  </si>
  <si>
    <t>      v_deducao=self.check_none(item.find('.ns:imposto/ns:ISSQN/ns:vDeducao',nsNFe))</t>
  </si>
  <si>
    <t>      v_outro=self.check_none(item.find('.ns:imposto/ns:ISSQN/ns:outro',nsNFe))</t>
  </si>
  <si>
    <t>      v_desc_inc=self.check_none(item.find('.ns:imposto/ns:ISSQN/ns:vDescIncond',nsNFe))</t>
  </si>
  <si>
    <t>      v_desc_cond=self.check_none(item.find('.ns:imposto/ns:ISSQN/ns:vDescCond',nsNFe))</t>
  </si>
  <si>
    <t>      v_iss_ret=self.check_none(item.find('.ns:imposto/ns:ISSQN/ns:vISSRet',nsNFe))</t>
  </si>
  <si>
    <t>      ind_iss=self.check_none(item.find('.ns:imposto/ns:ISSQN/ns:indISS',nsNFe))</t>
  </si>
  <si>
    <t>      c_servico=self.check_none(item.find('.ns:imposto/ns:ISSQN/ns:cServico',nsNFe))</t>
  </si>
  <si>
    <t>      c_mun=self.check_none(item.find('.ns:imposto/ns:ISSQN/ns:cMun',nsNFe))</t>
  </si>
  <si>
    <t>      c_pais=self.check_none(item.find('.ns:imposto/ns:ISSQN/ns:cPais',nsNFe))</t>
  </si>
  <si>
    <t>      n_processo=self.check_none(item.find('.ns:imposto/ns:ISSQN/ns:nProcesso',nsNFe))</t>
  </si>
  <si>
    <t>      ind_incentivo=self.check_none(item.find('.ns:imposto/ns:ISSQN/ns:indIncentivo',nsNFe))</t>
  </si>
  <si>
    <t>      cst_pis=self.check_none(item.find('.ns:imposto/ns:PIS/ns:PISAliq/ns:CST',nsNFe))</t>
  </si>
  <si>
    <t>      v_bc_pis=self.check_none(item.find('.ns:imposto/ns:PIS/ns:PISAliq/ns:vBC',nsNFe))</t>
  </si>
  <si>
    <t>      p_pis=self.check_none(item.find('.ns:imposto/ns:PIS/ns:PISAliq/ns:pPIS',nsNFe))</t>
  </si>
  <si>
    <t>      v_pis=self.check_none(item.find('.ns:imposto/ns:PIS/ns:PISAliq/ns:vPIS',nsNFe))</t>
  </si>
  <si>
    <t>      cst_COFINS=self.check_none(item.find('.ns:imposto/ns:COFINS/ns:COFINSAliq/ns:CST',nsNFe))</t>
  </si>
  <si>
    <t>      v_bc_COFINS=self.check_none(item.find('.ns:imposto/ns:COFINS/ns:COFINSAliq/ns:vBC',nsNFe))</t>
  </si>
  <si>
    <t>      p_COFINS=self.check_none(item.find('.ns:imposto/ns:COFINS/ns:COFINSAliq/ns:pCOFINS',nsNFe))</t>
  </si>
  <si>
    <t>nf_ref=self.check_none(root.find("./ns:NFe/ns:infNFe/ns:NFref/ns:refNFe",nsNFe))  </t>
  </si>
  <si>
    <t>doc_emit = self.format_cnpj_cpf(self.check_none(root.find('./ns:NFe/ns:infNFe/ns:emit/ns:CNPJ', nsNFe)))</t>
  </si>
  <si>
    <t>doc_dest = self.format_cnpj_cpf(self.check_none(root.find('./ns:NFe/ns:infNFe/ns:dest/ns:CNPJ', nsNFe)))</t>
  </si>
  <si>
    <t>doc_retirada = self.format_cnpj_cpf(self.check_none(root.find('./ns:NFe/ns:infNFe/ns:retirada/ns:CNPJ', nsNFe)))</t>
  </si>
  <si>
    <t> doc_entrega = self.format_cnpj_cpf(self.check_none(root.find('./ns:NFe/ns:infNFe/ns:entrega/ns:CPF', nsNFe)))</t>
  </si>
  <si>
    <t>doc_trans = self.format_cnpj_cpf(self.check_none(root.find('./ns:NFe/ns:infNFe/ns:transp/ns:transporta/ns:CPF', nsNFe)))</t>
  </si>
  <si>
    <t>v_COFINS=self.check_none(item.find('.ns:imposto/ns:COFINS/ns:COFINSAliq/ns:vCOFINS',nsNFe))</t>
  </si>
  <si>
    <t>  cod_item</t>
  </si>
  <si>
    <t>cod_item</t>
  </si>
  <si>
    <t xml:space="preserve">chave, chave, nat_op, mod, nfe, serie, data_emissao, data_emissao, data_saient, data_saient, tp_nf, cod_mun_fg, id_dest, tp_imp, tp_emi, tp_amb, fin_nfe, ind_pres, nf_ref, doc_emit , nome_emit, fantasia_emit, rua_emit, nro_emit, bairro_emit, cod_mun_emit, mun_emit, uf_emit, cep_emit, cod_pais_emit, pais_emit, fone_emit, ie_emit, cnae_fiscal, crt_emit, cnpj_avulsa, nome_avulsa, doc_dest , nome_dest, rua_dest, nro_dest, cpl_dest, bairro_dest, cod_mun_dest, mun_dest, uf_dest, cep_dest, cod_pais_dest, pais_dest, fone_dest, sit_ie_dest, ie_dest, isuf_dest, im_dest, email_dest, doc_retirada , nome_retirada, rua_retirada, nro_retirada, cpl_retirada, bairro_retirada, cod_mun_retirada, mun_retirada, uf_retirada, cep_retirada, cod_pais_retirada, pais_retirada, fone_retirada, email_retirada, ie_retirada, doc_entrega, nome_entrega, rua_entrega, nro_entrega, cpl_entrega, bairro_entrega, cod_mun_entrega, mun_entrega, uf_entrega, cep_entrega, cod_pais_entrega, pais_entrega, fone_entrega, email_entrega, ie_entrega, t_bc_icms, t_v_icms, t_v_deso, pcfufdest, icmsufdest, icmsufremet, t_fcp, t_bcst, t_st, t_fcpst, t_fcpst_ret, t_vprod, t_vfrete, t_vseguro, t_vdesc, t_vii, t_vipi, t_vpis, t_vcofins, t_voutro, t_nf, t_trib, modfrete, doc_trans, nome_trans, ie_trans, ender_trans, mun_trans, uf_trans, data_importacao, cod_item, c_ean, c_barra, descricao_item, ncm, nve, cest, cfop, un_medida, qtd_item, vlr_unit_item, vlr_item, ind_escala, cnpj_fab, c_benef, ex_tipi, u_trib, q_trib, v_un_trib, v_frete, v_seg, v_desc, v_outro, ind_tot, orig, cst_csosn, orig_part, cst_part, mod_bc, v_bc, red_bc, icms_part, v_icms_part, mod_bcst, mva_st_part, red_bc_st, bc_st_part, icms_st, pBCOp, uf_st, orig_st, cst_st, bc_st_ret, st, v_st, v_st_ret, v_bcfcpst_ret, p_fcpst_ret, v_fcpst_ret, v_bcst_dest, v_icms_st_dest, p_redbcefet, v_bcefet, p_icms_efet, v_icms_efet, cst_ipi, bc_ipi, p_ipi, q_unid_ipi, v_unid_ipi, v_ipi, cst_int, v_bc_ii, v_desp_adu, v_ii, v_iof, v_bc_iss, alq_iss, v_iss, c_mun_fg_iss, c_serv, v_deducao, v_outro, v_desc_inc, v_desc_cond, v_iss_ret, ind_iss, c_servico, c_mun, c_pais, n_processo, ind_incentivo, cst_pis, v_bc_pis, p_pis, v_pis, cst_COFINS, v_bc_COFINS, p_COFINS, NS, </t>
  </si>
  <si>
    <t>duplicadas para fins de importação</t>
  </si>
  <si>
    <t xml:space="preserve">chave', 'nat_op', 'mod', 'nfe', 'serie', '', 'data_emissao', '', 'data_saient', 'tp_nf', 'cod_mun_fg', 'id_dest', 'tp_imp', 'tp_emi', 'tp_amb', 'fin_nfe', 'ind_pres', 'nf_ref', 'doc_emit ', 'nome_emit', 'fantasia_emit', 'rua_emit', 'nro_emit', 'bairro_emit', 'cod_mun_emit', 'mun_emit', 'uf_emit', 'cep_emit', 'cod_pais_emit', 'pais_emit', 'fone_emit', 'ie_emit', 'cnae_fiscal', 'crt_emit', 'cnpj_avulsa', 'nome_avulsa', 'doc_dest ', 'nome_dest', 'rua_dest', 'nro_dest', 'cpl_dest', 'bairro_dest', 'cod_mun_dest', 'mun_dest', 'uf_dest', 'cep_dest', 'cod_pais_dest', 'pais_dest', 'fone_dest', 'sit_ie_dest', 'ie_dest', 'isuf_dest', 'im_dest', 'email_dest', 'doc_retirada ', 'nome_retirada', 'rua_retirada', 'nro_retirada', 'cpl_retirada', 'bairro_retirada', 'cod_mun_retirada', 'mun_retirada', 'uf_retirada', 'cep_retirada', 'cod_pais_retirada', 'pais_retirada', 'fone_retirada', 'email_retirada', 'ie_retirada', 'doc_entrega', 'nome_entrega', 'rua_entrega', 'nro_entrega', 'cpl_entrega', 'bairro_entrega', 'cod_mun_entrega', 'mun_entrega', 'uf_entrega', 'cep_entrega', 'cod_pais_entrega', 'pais_entrega', 'fone_entrega', 'email_entrega', 'ie_entrega', 't_bc_icms', 't_v_icms', 't_v_deso', 'pcfufdest', 'icmsufdest', 'icmsufremet', 't_fcp', 't_bcst', 't_st', 't_fcpst', 't_fcpst_ret', 't_vprod', 't_vfrete', 't_vseguro', 't_vdesc', 't_vii', 't_vipi', 't_vpis', 't_vcofins', 't_voutro', 't_nf', 't_trib', 'modfrete', 'doc_trans', 'nome_trans', 'ie_trans', 'ender_trans', 'mun_trans', </t>
  </si>
  <si>
    <t>v_COFINS</t>
  </si>
  <si>
    <r>
      <t>'chave'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'cod_item'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'c_ean'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'c_barra'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'descricao_item'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'ncm'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'nve'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'cest'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'cfop'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'un_medida'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'qtd_item'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'vlr_unit_item'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'vlr_item'</t>
    </r>
    <r>
      <rPr>
        <sz val="11"/>
        <color rgb="FFD4D4D4"/>
        <rFont val="Consolas"/>
        <family val="3"/>
      </rPr>
      <t xml:space="preserve">, </t>
    </r>
  </si>
  <si>
    <r>
      <t xml:space="preserve">        </t>
    </r>
    <r>
      <rPr>
        <sz val="11"/>
        <color rgb="FFCE9178"/>
        <rFont val="Consolas"/>
        <family val="3"/>
      </rPr>
      <t>'ind_escala'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'cnpj_fab'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'c_benef'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'ex_tipi'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'u_trib'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'q_trib'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'v_un_trib'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'v_frete'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'v_seg'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'v_desc'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'v_outro'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'ind_tot'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'orig'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'cst_csosn'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'orig_part'</t>
    </r>
    <r>
      <rPr>
        <sz val="11"/>
        <color rgb="FFD4D4D4"/>
        <rFont val="Consolas"/>
        <family val="3"/>
      </rPr>
      <t xml:space="preserve">, </t>
    </r>
  </si>
  <si>
    <r>
      <t xml:space="preserve">        </t>
    </r>
    <r>
      <rPr>
        <sz val="11"/>
        <color rgb="FFCE9178"/>
        <rFont val="Consolas"/>
        <family val="3"/>
      </rPr>
      <t>'cst_part'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'mod_bc'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'v_bc'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'red_bc'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'icms_part'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'v_icms_part'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'mod_bcst'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'mva_st_part'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'red_bc_st'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'bc_st_part'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'icms_st'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'pBCOp'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'uf_st'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'orig_st'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'cst_st'</t>
    </r>
    <r>
      <rPr>
        <sz val="11"/>
        <color rgb="FFD4D4D4"/>
        <rFont val="Consolas"/>
        <family val="3"/>
      </rPr>
      <t xml:space="preserve">, </t>
    </r>
  </si>
  <si>
    <r>
      <t xml:space="preserve">        </t>
    </r>
    <r>
      <rPr>
        <sz val="11"/>
        <color rgb="FFCE9178"/>
        <rFont val="Consolas"/>
        <family val="3"/>
      </rPr>
      <t>'bc_st_ret'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'st'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'v_st'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'v_st_ret'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'v_bcfcpst_ret'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'p_fcpst_ret'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'v_fcpst_ret'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'v_bcst_dest'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'v_icms_st_dest'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'p_redbcefet'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'v_bcefet'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'p_icms_efet'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'v_icms_efet'</t>
    </r>
    <r>
      <rPr>
        <sz val="11"/>
        <color rgb="FFD4D4D4"/>
        <rFont val="Consolas"/>
        <family val="3"/>
      </rPr>
      <t xml:space="preserve">, </t>
    </r>
  </si>
  <si>
    <r>
      <t xml:space="preserve">        </t>
    </r>
    <r>
      <rPr>
        <sz val="11"/>
        <color rgb="FFCE9178"/>
        <rFont val="Consolas"/>
        <family val="3"/>
      </rPr>
      <t>'cst_ipi'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'bc_ipi'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'p_ipi'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'q_unid_ipi'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'v_unid_ipi'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'v_ipi'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'cst_int'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'v_bc_ii'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'v_desp_adu'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'v_ii'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'v_iof'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'v_bc_iss'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'alq_iss'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'v_iss'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'c_mun_fg_iss'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'c_serv'</t>
    </r>
    <r>
      <rPr>
        <sz val="11"/>
        <color rgb="FFD4D4D4"/>
        <rFont val="Consolas"/>
        <family val="3"/>
      </rPr>
      <t xml:space="preserve">, </t>
    </r>
  </si>
  <si>
    <r>
      <t xml:space="preserve">        </t>
    </r>
    <r>
      <rPr>
        <sz val="11"/>
        <color rgb="FFCE9178"/>
        <rFont val="Consolas"/>
        <family val="3"/>
      </rPr>
      <t>'v_deducao'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'v_outro'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'v_desc_inc'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'v_desc_cond'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'v_iss_ret'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'ind_iss'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'c_servico'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'c_mun'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'c_pais'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'n_processo'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'ind_incentivo'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'cst_pis'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'v_bc_pis'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'p_pis'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'v_pis'</t>
    </r>
    <r>
      <rPr>
        <sz val="11"/>
        <color rgb="FFD4D4D4"/>
        <rFont val="Consolas"/>
        <family val="3"/>
      </rPr>
      <t xml:space="preserve">, </t>
    </r>
  </si>
  <si>
    <r>
      <t xml:space="preserve">        </t>
    </r>
    <r>
      <rPr>
        <sz val="11"/>
        <color rgb="FFCE9178"/>
        <rFont val="Consolas"/>
        <family val="3"/>
      </rPr>
      <t>'cst_COFINS'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'v_bc_COFINS'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'p_COFINS'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'v_COFINS'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'data_importacao'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'usuario'</t>
    </r>
  </si>
  <si>
    <r>
      <t>chave'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'cod_item'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'c_ean'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'c_barra'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'descricao_item'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'ncm'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'nve'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'cest'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'cfop'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'un_medida'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'qtd_item'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'vlr_unit_item'</t>
    </r>
    <r>
      <rPr>
        <sz val="11"/>
        <color rgb="FFD4D4D4"/>
        <rFont val="Consolas"/>
        <family val="3"/>
      </rPr>
      <t xml:space="preserve">, </t>
    </r>
    <r>
      <rPr>
        <sz val="11"/>
        <color rgb="FFCE9178"/>
        <rFont val="Consolas"/>
        <family val="3"/>
      </rPr>
      <t>'vlr_item'</t>
    </r>
    <r>
      <rPr>
        <sz val="11"/>
        <color rgb="FFD4D4D4"/>
        <rFont val="Consolas"/>
        <family val="3"/>
      </rPr>
      <t xml:space="preserve">, </t>
    </r>
  </si>
  <si>
    <r>
      <t>chave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nat_op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mod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nfe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serie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data_emissao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data_saient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tp_nf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cod_mun_fg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id_dest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tp_imp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tp_emi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tp_amb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fin_nfe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ind_pres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nf_ref</t>
    </r>
    <r>
      <rPr>
        <sz val="11"/>
        <color rgb="FFD4D4D4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</si>
  <si>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doc_emit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nome_emit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fantasia_emit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rua_emit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nro_emit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bairro_emit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cod_mun_emit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mun_emit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uf_emit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cep_emit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cod_pais_emit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pais_emit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fone_emit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ie_emit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cnae_fiscal</t>
    </r>
    <r>
      <rPr>
        <sz val="11"/>
        <color rgb="FFD4D4D4"/>
        <rFont val="Consolas"/>
        <family val="3"/>
      </rPr>
      <t xml:space="preserve">, </t>
    </r>
  </si>
  <si>
    <r>
      <t xml:space="preserve">            </t>
    </r>
    <r>
      <rPr>
        <sz val="11"/>
        <color rgb="FF9CDCFE"/>
        <rFont val="Consolas"/>
        <family val="3"/>
      </rPr>
      <t>crt_emit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cnpj_avulsa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nome_avulsa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doc_dest</t>
    </r>
    <r>
      <rPr>
        <sz val="11"/>
        <color rgb="FFD4D4D4"/>
        <rFont val="Consolas"/>
        <family val="3"/>
      </rPr>
      <t xml:space="preserve"> , </t>
    </r>
    <r>
      <rPr>
        <sz val="11"/>
        <color rgb="FF9CDCFE"/>
        <rFont val="Consolas"/>
        <family val="3"/>
      </rPr>
      <t>nome_dest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rua_dest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nro_dest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cpl_dest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bairro_dest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cod_mun_dest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mun_dest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uf_dest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cep_dest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cod_pais_dest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pais_dest</t>
    </r>
    <r>
      <rPr>
        <sz val="11"/>
        <color rgb="FFD4D4D4"/>
        <rFont val="Consolas"/>
        <family val="3"/>
      </rPr>
      <t xml:space="preserve">, </t>
    </r>
  </si>
  <si>
    <r>
      <t xml:space="preserve">            </t>
    </r>
    <r>
      <rPr>
        <sz val="11"/>
        <color rgb="FF9CDCFE"/>
        <rFont val="Consolas"/>
        <family val="3"/>
      </rPr>
      <t>fone_dest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sit_ie_dest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ie_dest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isuf_dest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im_dest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email_dest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doc_retirada</t>
    </r>
    <r>
      <rPr>
        <sz val="11"/>
        <color rgb="FFD4D4D4"/>
        <rFont val="Consolas"/>
        <family val="3"/>
      </rPr>
      <t xml:space="preserve"> , </t>
    </r>
    <r>
      <rPr>
        <sz val="11"/>
        <color rgb="FF9CDCFE"/>
        <rFont val="Consolas"/>
        <family val="3"/>
      </rPr>
      <t>nome_retirada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rua_retirada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nro_retirada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cpl_retirada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bairro_retirada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cod_mun_retirada</t>
    </r>
    <r>
      <rPr>
        <sz val="11"/>
        <color rgb="FFD4D4D4"/>
        <rFont val="Consolas"/>
        <family val="3"/>
      </rPr>
      <t xml:space="preserve">, </t>
    </r>
  </si>
  <si>
    <r>
      <t xml:space="preserve">            </t>
    </r>
    <r>
      <rPr>
        <sz val="11"/>
        <color rgb="FF9CDCFE"/>
        <rFont val="Consolas"/>
        <family val="3"/>
      </rPr>
      <t>mun_retirada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uf_retirada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cep_retirada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cod_pais_retirada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pais_retirada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fone_retirada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email_retirada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ie_retirada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doc_entrega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nome_entrega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rua_entrega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nro_entrega</t>
    </r>
    <r>
      <rPr>
        <sz val="11"/>
        <color rgb="FFD4D4D4"/>
        <rFont val="Consolas"/>
        <family val="3"/>
      </rPr>
      <t xml:space="preserve">, </t>
    </r>
  </si>
  <si>
    <r>
      <t xml:space="preserve">            </t>
    </r>
    <r>
      <rPr>
        <sz val="11"/>
        <color rgb="FF9CDCFE"/>
        <rFont val="Consolas"/>
        <family val="3"/>
      </rPr>
      <t>cpl_entrega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bairro_entrega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cod_mun_entrega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mun_entrega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uf_entrega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cep_entrega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cod_pais_entrega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pais_entrega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fone_entrega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email_entrega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ie_entrega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t_bc_icms</t>
    </r>
    <r>
      <rPr>
        <sz val="11"/>
        <color rgb="FFD4D4D4"/>
        <rFont val="Consolas"/>
        <family val="3"/>
      </rPr>
      <t xml:space="preserve">, </t>
    </r>
  </si>
  <si>
    <r>
      <t xml:space="preserve">            </t>
    </r>
    <r>
      <rPr>
        <sz val="11"/>
        <color rgb="FF9CDCFE"/>
        <rFont val="Consolas"/>
        <family val="3"/>
      </rPr>
      <t>t_v_icms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t_v_deso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pcfufdest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icmsufdest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icmsufremet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t_fcp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t_bcst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t_fcpst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t_fcpst_ret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t_vprod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t_vfrete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t_vseguro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t_vdesc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t_vii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t_vipi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t_vpis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t_vcofins</t>
    </r>
    <r>
      <rPr>
        <sz val="11"/>
        <color rgb="FFD4D4D4"/>
        <rFont val="Consolas"/>
        <family val="3"/>
      </rPr>
      <t xml:space="preserve">, </t>
    </r>
  </si>
  <si>
    <r>
      <t xml:space="preserve">            </t>
    </r>
    <r>
      <rPr>
        <sz val="11"/>
        <color rgb="FF9CDCFE"/>
        <rFont val="Consolas"/>
        <family val="3"/>
      </rPr>
      <t>t_voutro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t_nf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t_trib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modfrete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doc_trans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nome_trans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ie_trans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ender_trans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mun_trans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uf_trans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data_importacao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usuario</t>
    </r>
    <r>
      <rPr>
        <sz val="11"/>
        <color rgb="FFD4D4D4"/>
        <rFont val="Consolas"/>
        <family val="3"/>
      </rPr>
      <t>)</t>
    </r>
  </si>
  <si>
    <t>chave, nat_op, mod, nfe, serie, data_emissao, data_saient, tp_nf, cod_mun_fg, id_dest, tp_imp, tp_emi, tp_amb, fin_nfe, ind_pres, nf_ref,</t>
  </si>
  <si>
    <t xml:space="preserve">                doc_emit , nome_emit, fantasia_emit, rua_emit, nro_emit, bairro_emit, cod_mun_emit, mun_emit, uf_emit, cep_emit, cod_pais_emit, pais_emit, fone_emit, ie_emit, cnae_fiscal, </t>
  </si>
  <si>
    <t xml:space="preserve">                crt_emit, cnpj_avulsa, nome_avulsa, doc_dest , nome_dest, rua_dest, nro_dest, cpl_dest, bairro_dest, cod_mun_dest, mun_dest, uf_dest, cep_dest, cod_pais_dest, pais_dest, </t>
  </si>
  <si>
    <t xml:space="preserve">                fone_dest, sit_ie_dest, ie_dest, isuf_dest, im_dest, email_dest, doc_retirada, nome_retirada, rua_retirada, nro_retirada, cpl_retirada, bairro_retirada, cod_mun_retirada, </t>
  </si>
  <si>
    <t xml:space="preserve">                mun_retirada, uf_retirada, cep_retirada, cod_pais_retirada, pais_retirada, fone_retirada, email_retirada, ie_retirada, doc_entrega, nome_entrega, rua_entrega, nro_entrega, </t>
  </si>
  <si>
    <t xml:space="preserve">                cpl_entrega, bairro_entrega, cod_mun_entrega, mun_entrega, uf_entrega, cep_entrega, cod_pais_entrega, pais_entrega, fone_entrega, email_entrega, ie_entrega, t_bc_icms, </t>
  </si>
  <si>
    <t xml:space="preserve">                t_v_icms, t_v_deso, pcfufdest, icmsufdest, icmsufremet, t_fcp, t_bcst, t_st, t_fcpst, t_fcpst_ret, t_vprod, t_vfrete, t_vseguro, t_vdesc, t_vii, t_vipi, t_vpis, t_vcofins, </t>
  </si>
  <si>
    <t>                t_voutro, t_nf, t_trib, modfrete, doc_trans, nome_trans, ie_trans, ender_trans, mun_trans, uf_trans, data_importacao, usuario</t>
  </si>
  <si>
    <t>chave', 'nat_op', 'mod', 'nfe', 'serie', 'data_emissao', 'data_saient', 'tp_nf', 'cod_mun_fg', 'id_dest', 'tp_imp', 'tp_emi', 'tp_amb', 'fin_nfe', 'ind_pres', 'nf_ref,</t>
  </si>
  <si>
    <t>     doc_emit ', 'nome_emit', 'fantasia_emit', 'rua_emit', 'nro_emit', 'bairro_emit', 'cod_mun_emit', 'mun_emit', 'uf_emit', 'cep_emit', 'cod_pais_emit', 'pais_emit', 'fone_emit', 'ie_emit', 'cnae_fiscal', '</t>
  </si>
  <si>
    <t>     crt_emit', 'cnpj_avulsa', 'nome_avulsa', 'doc_dest ', 'nome_dest', 'rua_dest', 'nro_dest', 'cpl_dest', 'bairro_dest', 'cod_mun_dest', 'mun_dest', 'uf_dest', 'cep_dest', 'cod_pais_dest', 'pais_dest', '</t>
  </si>
  <si>
    <t>     fone_dest', 'sit_ie_dest', 'ie_dest', 'isuf_dest', 'im_dest', 'email_dest', 'doc_retirada ', 'nome_retirada', 'rua_retirada', 'nro_retirada', 'cpl_retirada', 'bairro_retirada', 'cod_mun_retirada', '</t>
  </si>
  <si>
    <t>     mun_retirada', 'uf_retirada', 'cep_retirada', 'cod_pais_retirada', 'pais_retirada', 'fone_retirada', 'email_retirada', 'ie_retirada', 'doc_entrega', 'nome_entrega', 'rua_entrega', 'nro_entrega', '</t>
  </si>
  <si>
    <t>     cpl_entrega', 'bairro_entrega', 'cod_mun_entrega', 'mun_entrega', 'uf_entrega', 'cep_entrega', 'cod_pais_entrega', 'pais_entrega', 'fone_entrega', 'email_entrega', 'ie_entrega', 't_bc_icms', '</t>
  </si>
  <si>
    <t>     t_v_icms', 't_v_deso', 'pcfufdest', 'icmsufdest', 'icmsufremet', 't_fcp', 't_bcst', 't_st', 't_fcpst', 't_fcpst_ret', 't_vprod', 't_vfrete', 't_vseguro', 't_vdesc', 't_vii', 't_vipi', 't_vpis', 't_vcofins', '</t>
  </si>
  <si>
    <t>     t_voutro', 't_nf', 't_trib', 'modfrete', 'doc_trans', 'nome_trans', 'ie_trans', 'ender_trans', 'mun_trans', 'uf_trans', 'data_importacao', 'usuario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</si>
</sst>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9CDCFE"/>
      <name val="Consolas"/>
      <family val="3"/>
    </font>
    <font>
      <sz val="11"/>
      <color rgb="FFFF0000"/>
      <name val="Calibri"/>
      <family val="2"/>
      <scheme val="minor"/>
    </font>
    <font>
      <sz val="11"/>
      <color rgb="FFFF0000"/>
      <name val="Consolas"/>
      <family val="3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quotePrefix="1"/>
    <xf numFmtId="0" fontId="4" fillId="0" borderId="0" xfId="0" applyFont="1" applyAlignment="1">
      <alignment vertical="center"/>
    </xf>
    <xf numFmtId="0" fontId="3" fillId="0" borderId="0" xfId="0" applyFont="1"/>
    <xf numFmtId="0" fontId="5" fillId="0" borderId="0" xfId="0" applyFont="1" applyAlignment="1">
      <alignment vertical="center"/>
    </xf>
    <xf numFmtId="0" fontId="5" fillId="0" borderId="0" xfId="0" quotePrefix="1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41F19-1675-4019-BCFE-1BC073E0D398}">
  <sheetPr codeName="Planilha1"/>
  <dimension ref="A1:T205"/>
  <sheetViews>
    <sheetView workbookViewId="0">
      <selection activeCell="D37" sqref="D37"/>
    </sheetView>
  </sheetViews>
  <sheetFormatPr defaultRowHeight="15" x14ac:dyDescent="0.25"/>
  <cols>
    <col min="14" max="14" width="16.42578125" customWidth="1"/>
  </cols>
  <sheetData>
    <row r="1" spans="1:20" x14ac:dyDescent="0.25">
      <c r="A1" s="1"/>
      <c r="N1" t="s">
        <v>2</v>
      </c>
      <c r="O1" t="str">
        <f>N1&amp;" TEXT,"</f>
        <v>chave TEXT,</v>
      </c>
      <c r="R1" t="s">
        <v>211</v>
      </c>
    </row>
    <row r="2" spans="1:20" x14ac:dyDescent="0.25">
      <c r="A2" s="2" t="s">
        <v>5</v>
      </c>
      <c r="M2">
        <f>SEARCH("=",A2,1)</f>
        <v>6</v>
      </c>
      <c r="N2" t="str">
        <f>MID(A2,1,M2-1)</f>
        <v>chave</v>
      </c>
      <c r="O2" t="str">
        <f t="shared" ref="O2:O65" si="0">N2&amp;" TEXT,"</f>
        <v>chave TEXT,</v>
      </c>
      <c r="P2" t="s">
        <v>0</v>
      </c>
      <c r="R2" s="3" t="s">
        <v>213</v>
      </c>
    </row>
    <row r="3" spans="1:20" x14ac:dyDescent="0.25">
      <c r="A3" s="2" t="s">
        <v>6</v>
      </c>
      <c r="M3">
        <f t="shared" ref="M3:M66" si="1">SEARCH("=",A3,1)</f>
        <v>11</v>
      </c>
      <c r="N3" t="str">
        <f>MID(A3,5,M3-5)</f>
        <v>nat_op</v>
      </c>
      <c r="O3" t="str">
        <f t="shared" si="0"/>
        <v>nat_op TEXT,</v>
      </c>
      <c r="P3" t="s">
        <v>1</v>
      </c>
      <c r="R3" s="7" t="s">
        <v>222</v>
      </c>
    </row>
    <row r="4" spans="1:20" x14ac:dyDescent="0.25">
      <c r="A4" s="2" t="s">
        <v>7</v>
      </c>
      <c r="M4">
        <f t="shared" si="1"/>
        <v>8</v>
      </c>
      <c r="N4" t="str">
        <f t="shared" ref="N4:N67" si="2">MID(A4,5,M4-5)</f>
        <v>mod</v>
      </c>
      <c r="O4" t="str">
        <f t="shared" si="0"/>
        <v>mod TEXT,</v>
      </c>
      <c r="R4" s="2" t="s">
        <v>216</v>
      </c>
    </row>
    <row r="5" spans="1:20" x14ac:dyDescent="0.25">
      <c r="A5" s="2" t="s">
        <v>8</v>
      </c>
      <c r="M5">
        <f t="shared" si="1"/>
        <v>8</v>
      </c>
      <c r="N5" t="str">
        <f t="shared" si="2"/>
        <v>nfe</v>
      </c>
      <c r="O5" t="str">
        <f t="shared" si="0"/>
        <v>nfe TEXT,</v>
      </c>
      <c r="R5" s="2" t="s">
        <v>217</v>
      </c>
    </row>
    <row r="6" spans="1:20" x14ac:dyDescent="0.25">
      <c r="A6" s="2" t="s">
        <v>9</v>
      </c>
      <c r="M6">
        <f t="shared" si="1"/>
        <v>10</v>
      </c>
      <c r="N6" t="str">
        <f t="shared" si="2"/>
        <v>serie</v>
      </c>
      <c r="O6" t="str">
        <f t="shared" si="0"/>
        <v>serie TEXT,</v>
      </c>
      <c r="R6" s="2" t="s">
        <v>218</v>
      </c>
      <c r="T6" s="5" t="s">
        <v>212</v>
      </c>
    </row>
    <row r="7" spans="1:20" s="5" customFormat="1" x14ac:dyDescent="0.25">
      <c r="A7" s="4" t="s">
        <v>10</v>
      </c>
      <c r="R7" s="2" t="s">
        <v>219</v>
      </c>
    </row>
    <row r="8" spans="1:20" x14ac:dyDescent="0.25">
      <c r="A8" s="2" t="s">
        <v>11</v>
      </c>
      <c r="M8">
        <f t="shared" si="1"/>
        <v>17</v>
      </c>
      <c r="N8" t="str">
        <f t="shared" si="2"/>
        <v>data_emissao</v>
      </c>
      <c r="O8" t="str">
        <f t="shared" si="0"/>
        <v>data_emissao TEXT,</v>
      </c>
      <c r="R8" s="2" t="s">
        <v>220</v>
      </c>
    </row>
    <row r="9" spans="1:20" x14ac:dyDescent="0.25">
      <c r="A9" s="4" t="s">
        <v>12</v>
      </c>
      <c r="B9" s="5"/>
      <c r="C9" s="5"/>
      <c r="D9" s="5"/>
      <c r="E9" s="5"/>
      <c r="F9" s="5"/>
      <c r="G9" s="5"/>
      <c r="H9" s="5"/>
      <c r="M9">
        <f t="shared" si="1"/>
        <v>16</v>
      </c>
      <c r="R9" s="2" t="s">
        <v>221</v>
      </c>
    </row>
    <row r="10" spans="1:20" x14ac:dyDescent="0.25">
      <c r="A10" s="2" t="s">
        <v>13</v>
      </c>
      <c r="M10">
        <f t="shared" si="1"/>
        <v>16</v>
      </c>
      <c r="N10" t="str">
        <f t="shared" si="2"/>
        <v>data_saient</v>
      </c>
      <c r="O10" t="str">
        <f t="shared" si="0"/>
        <v>data_saient TEXT,</v>
      </c>
    </row>
    <row r="11" spans="1:20" x14ac:dyDescent="0.25">
      <c r="A11" s="2" t="s">
        <v>14</v>
      </c>
      <c r="M11">
        <f t="shared" si="1"/>
        <v>10</v>
      </c>
      <c r="N11" t="str">
        <f t="shared" si="2"/>
        <v>tp_nf</v>
      </c>
      <c r="O11" t="str">
        <f t="shared" si="0"/>
        <v>tp_nf TEXT,</v>
      </c>
    </row>
    <row r="12" spans="1:20" x14ac:dyDescent="0.25">
      <c r="A12" s="2" t="s">
        <v>15</v>
      </c>
      <c r="M12">
        <f t="shared" si="1"/>
        <v>15</v>
      </c>
      <c r="N12" t="str">
        <f t="shared" si="2"/>
        <v>cod_mun_fg</v>
      </c>
      <c r="O12" t="str">
        <f t="shared" si="0"/>
        <v>cod_mun_fg TEXT,</v>
      </c>
    </row>
    <row r="13" spans="1:20" x14ac:dyDescent="0.25">
      <c r="A13" s="2" t="s">
        <v>16</v>
      </c>
      <c r="M13">
        <f t="shared" si="1"/>
        <v>12</v>
      </c>
      <c r="N13" t="str">
        <f t="shared" si="2"/>
        <v>id_dest</v>
      </c>
      <c r="O13" t="str">
        <f t="shared" si="0"/>
        <v>id_dest TEXT,</v>
      </c>
    </row>
    <row r="14" spans="1:20" x14ac:dyDescent="0.25">
      <c r="A14" s="2" t="s">
        <v>17</v>
      </c>
      <c r="M14">
        <f t="shared" si="1"/>
        <v>11</v>
      </c>
      <c r="N14" t="str">
        <f t="shared" si="2"/>
        <v>tp_imp</v>
      </c>
      <c r="O14" t="str">
        <f t="shared" si="0"/>
        <v>tp_imp TEXT,</v>
      </c>
    </row>
    <row r="15" spans="1:20" x14ac:dyDescent="0.25">
      <c r="A15" s="2" t="s">
        <v>18</v>
      </c>
      <c r="M15">
        <f t="shared" si="1"/>
        <v>11</v>
      </c>
      <c r="N15" t="str">
        <f t="shared" si="2"/>
        <v>tp_emi</v>
      </c>
      <c r="O15" t="str">
        <f t="shared" si="0"/>
        <v>tp_emi TEXT,</v>
      </c>
    </row>
    <row r="16" spans="1:20" x14ac:dyDescent="0.25">
      <c r="A16" s="2" t="s">
        <v>19</v>
      </c>
      <c r="M16">
        <f t="shared" si="1"/>
        <v>11</v>
      </c>
      <c r="N16" t="str">
        <f t="shared" si="2"/>
        <v>tp_amb</v>
      </c>
      <c r="O16" t="str">
        <f t="shared" si="0"/>
        <v>tp_amb TEXT,</v>
      </c>
    </row>
    <row r="17" spans="1:15" x14ac:dyDescent="0.25">
      <c r="A17" s="2" t="s">
        <v>20</v>
      </c>
      <c r="M17">
        <f t="shared" si="1"/>
        <v>12</v>
      </c>
      <c r="N17" t="str">
        <f t="shared" si="2"/>
        <v>fin_nfe</v>
      </c>
      <c r="O17" t="str">
        <f t="shared" si="0"/>
        <v>fin_nfe TEXT,</v>
      </c>
    </row>
    <row r="18" spans="1:15" x14ac:dyDescent="0.25">
      <c r="A18" s="2" t="s">
        <v>21</v>
      </c>
      <c r="M18">
        <f t="shared" si="1"/>
        <v>13</v>
      </c>
      <c r="N18" t="str">
        <f t="shared" si="2"/>
        <v>ind_pres</v>
      </c>
      <c r="O18" t="str">
        <f t="shared" si="0"/>
        <v>ind_pres TEXT,</v>
      </c>
    </row>
    <row r="19" spans="1:15" x14ac:dyDescent="0.25">
      <c r="A19" s="1" t="s">
        <v>202</v>
      </c>
      <c r="M19">
        <f t="shared" si="1"/>
        <v>7</v>
      </c>
      <c r="N19" t="str">
        <f>MID(A19,1,M19-1)</f>
        <v>nf_ref</v>
      </c>
      <c r="O19" t="str">
        <f t="shared" si="0"/>
        <v>nf_ref TEXT,</v>
      </c>
    </row>
    <row r="20" spans="1:15" x14ac:dyDescent="0.25">
      <c r="A20" s="2" t="s">
        <v>203</v>
      </c>
      <c r="M20">
        <f t="shared" si="1"/>
        <v>10</v>
      </c>
      <c r="N20" t="str">
        <f>MID(A20,1,M20-1)</f>
        <v xml:space="preserve">doc_emit </v>
      </c>
      <c r="O20" t="str">
        <f t="shared" si="0"/>
        <v>doc_emit  TEXT,</v>
      </c>
    </row>
    <row r="21" spans="1:15" x14ac:dyDescent="0.25">
      <c r="A21" s="2" t="s">
        <v>22</v>
      </c>
      <c r="M21">
        <f t="shared" si="1"/>
        <v>14</v>
      </c>
      <c r="N21" t="str">
        <f t="shared" si="2"/>
        <v>nome_emit</v>
      </c>
      <c r="O21" t="str">
        <f t="shared" si="0"/>
        <v>nome_emit TEXT,</v>
      </c>
    </row>
    <row r="22" spans="1:15" x14ac:dyDescent="0.25">
      <c r="A22" s="2" t="s">
        <v>23</v>
      </c>
      <c r="M22">
        <f t="shared" si="1"/>
        <v>18</v>
      </c>
      <c r="N22" t="str">
        <f t="shared" si="2"/>
        <v>fantasia_emit</v>
      </c>
      <c r="O22" t="str">
        <f t="shared" si="0"/>
        <v>fantasia_emit TEXT,</v>
      </c>
    </row>
    <row r="23" spans="1:15" x14ac:dyDescent="0.25">
      <c r="A23" s="2" t="s">
        <v>24</v>
      </c>
      <c r="M23">
        <f t="shared" si="1"/>
        <v>13</v>
      </c>
      <c r="N23" t="str">
        <f t="shared" si="2"/>
        <v>rua_emit</v>
      </c>
      <c r="O23" t="str">
        <f t="shared" si="0"/>
        <v>rua_emit TEXT,</v>
      </c>
    </row>
    <row r="24" spans="1:15" x14ac:dyDescent="0.25">
      <c r="A24" s="2" t="s">
        <v>25</v>
      </c>
      <c r="M24">
        <f t="shared" si="1"/>
        <v>13</v>
      </c>
      <c r="N24" t="str">
        <f t="shared" si="2"/>
        <v>nro_emit</v>
      </c>
      <c r="O24" t="str">
        <f t="shared" si="0"/>
        <v>nro_emit TEXT,</v>
      </c>
    </row>
    <row r="25" spans="1:15" x14ac:dyDescent="0.25">
      <c r="A25" s="2" t="s">
        <v>26</v>
      </c>
      <c r="M25">
        <f t="shared" si="1"/>
        <v>16</v>
      </c>
      <c r="N25" t="str">
        <f t="shared" si="2"/>
        <v>bairro_emit</v>
      </c>
      <c r="O25" t="str">
        <f t="shared" si="0"/>
        <v>bairro_emit TEXT,</v>
      </c>
    </row>
    <row r="26" spans="1:15" x14ac:dyDescent="0.25">
      <c r="A26" s="2" t="s">
        <v>27</v>
      </c>
      <c r="M26">
        <f t="shared" si="1"/>
        <v>17</v>
      </c>
      <c r="N26" t="str">
        <f t="shared" si="2"/>
        <v>cod_mun_emit</v>
      </c>
      <c r="O26" t="str">
        <f t="shared" si="0"/>
        <v>cod_mun_emit TEXT,</v>
      </c>
    </row>
    <row r="27" spans="1:15" x14ac:dyDescent="0.25">
      <c r="A27" s="2" t="s">
        <v>28</v>
      </c>
      <c r="M27">
        <f t="shared" si="1"/>
        <v>13</v>
      </c>
      <c r="N27" t="str">
        <f t="shared" si="2"/>
        <v>mun_emit</v>
      </c>
      <c r="O27" t="str">
        <f t="shared" si="0"/>
        <v>mun_emit TEXT,</v>
      </c>
    </row>
    <row r="28" spans="1:15" x14ac:dyDescent="0.25">
      <c r="A28" s="2" t="s">
        <v>29</v>
      </c>
      <c r="M28">
        <f t="shared" si="1"/>
        <v>12</v>
      </c>
      <c r="N28" t="str">
        <f t="shared" si="2"/>
        <v>uf_emit</v>
      </c>
      <c r="O28" t="str">
        <f t="shared" si="0"/>
        <v>uf_emit TEXT,</v>
      </c>
    </row>
    <row r="29" spans="1:15" x14ac:dyDescent="0.25">
      <c r="A29" s="2" t="s">
        <v>30</v>
      </c>
      <c r="M29">
        <f t="shared" si="1"/>
        <v>13</v>
      </c>
      <c r="N29" t="str">
        <f t="shared" si="2"/>
        <v>cep_emit</v>
      </c>
      <c r="O29" t="str">
        <f t="shared" si="0"/>
        <v>cep_emit TEXT,</v>
      </c>
    </row>
    <row r="30" spans="1:15" x14ac:dyDescent="0.25">
      <c r="A30" s="2" t="s">
        <v>31</v>
      </c>
      <c r="M30">
        <f t="shared" si="1"/>
        <v>18</v>
      </c>
      <c r="N30" t="str">
        <f t="shared" si="2"/>
        <v>cod_pais_emit</v>
      </c>
      <c r="O30" t="str">
        <f t="shared" si="0"/>
        <v>cod_pais_emit TEXT,</v>
      </c>
    </row>
    <row r="31" spans="1:15" x14ac:dyDescent="0.25">
      <c r="A31" s="2" t="s">
        <v>32</v>
      </c>
      <c r="M31">
        <f t="shared" si="1"/>
        <v>14</v>
      </c>
      <c r="N31" t="str">
        <f t="shared" si="2"/>
        <v>pais_emit</v>
      </c>
      <c r="O31" t="str">
        <f t="shared" si="0"/>
        <v>pais_emit TEXT,</v>
      </c>
    </row>
    <row r="32" spans="1:15" x14ac:dyDescent="0.25">
      <c r="A32" s="2" t="s">
        <v>33</v>
      </c>
      <c r="M32">
        <f t="shared" si="1"/>
        <v>14</v>
      </c>
      <c r="N32" t="str">
        <f t="shared" si="2"/>
        <v>fone_emit</v>
      </c>
      <c r="O32" t="str">
        <f t="shared" si="0"/>
        <v>fone_emit TEXT,</v>
      </c>
    </row>
    <row r="33" spans="1:15" x14ac:dyDescent="0.25">
      <c r="A33" s="2" t="s">
        <v>34</v>
      </c>
      <c r="M33">
        <f t="shared" si="1"/>
        <v>12</v>
      </c>
      <c r="N33" t="str">
        <f t="shared" si="2"/>
        <v>ie_emit</v>
      </c>
      <c r="O33" t="str">
        <f t="shared" si="0"/>
        <v>ie_emit TEXT,</v>
      </c>
    </row>
    <row r="34" spans="1:15" x14ac:dyDescent="0.25">
      <c r="A34" s="2" t="s">
        <v>35</v>
      </c>
      <c r="M34">
        <f t="shared" si="1"/>
        <v>16</v>
      </c>
      <c r="N34" t="str">
        <f t="shared" si="2"/>
        <v>cnae_fiscal</v>
      </c>
      <c r="O34" t="str">
        <f t="shared" si="0"/>
        <v>cnae_fiscal TEXT,</v>
      </c>
    </row>
    <row r="35" spans="1:15" x14ac:dyDescent="0.25">
      <c r="A35" s="2" t="s">
        <v>36</v>
      </c>
      <c r="M35">
        <f t="shared" si="1"/>
        <v>13</v>
      </c>
      <c r="N35" t="str">
        <f t="shared" si="2"/>
        <v>crt_emit</v>
      </c>
      <c r="O35" t="str">
        <f t="shared" si="0"/>
        <v>crt_emit TEXT,</v>
      </c>
    </row>
    <row r="36" spans="1:15" x14ac:dyDescent="0.25">
      <c r="A36" s="2" t="s">
        <v>37</v>
      </c>
      <c r="M36">
        <f t="shared" si="1"/>
        <v>16</v>
      </c>
      <c r="N36" t="str">
        <f t="shared" si="2"/>
        <v>cnpj_avulsa</v>
      </c>
      <c r="O36" t="str">
        <f t="shared" si="0"/>
        <v>cnpj_avulsa TEXT,</v>
      </c>
    </row>
    <row r="37" spans="1:15" x14ac:dyDescent="0.25">
      <c r="A37" s="1" t="s">
        <v>38</v>
      </c>
      <c r="M37">
        <f t="shared" si="1"/>
        <v>16</v>
      </c>
      <c r="N37" t="str">
        <f t="shared" si="2"/>
        <v>nome_avulsa</v>
      </c>
      <c r="O37" t="str">
        <f t="shared" si="0"/>
        <v>nome_avulsa TEXT,</v>
      </c>
    </row>
    <row r="38" spans="1:15" x14ac:dyDescent="0.25">
      <c r="A38" s="2" t="s">
        <v>204</v>
      </c>
      <c r="M38">
        <f t="shared" si="1"/>
        <v>10</v>
      </c>
      <c r="N38" t="str">
        <f>MID(A38,1,M38-1)</f>
        <v xml:space="preserve">doc_dest </v>
      </c>
      <c r="O38" t="str">
        <f t="shared" si="0"/>
        <v>doc_dest  TEXT,</v>
      </c>
    </row>
    <row r="39" spans="1:15" x14ac:dyDescent="0.25">
      <c r="A39" s="2" t="s">
        <v>39</v>
      </c>
      <c r="M39">
        <f t="shared" si="1"/>
        <v>14</v>
      </c>
      <c r="N39" t="str">
        <f t="shared" si="2"/>
        <v>nome_dest</v>
      </c>
      <c r="O39" t="str">
        <f t="shared" si="0"/>
        <v>nome_dest TEXT,</v>
      </c>
    </row>
    <row r="40" spans="1:15" x14ac:dyDescent="0.25">
      <c r="A40" s="2" t="s">
        <v>40</v>
      </c>
      <c r="M40">
        <f t="shared" si="1"/>
        <v>13</v>
      </c>
      <c r="N40" t="str">
        <f t="shared" si="2"/>
        <v>rua_dest</v>
      </c>
      <c r="O40" t="str">
        <f t="shared" si="0"/>
        <v>rua_dest TEXT,</v>
      </c>
    </row>
    <row r="41" spans="1:15" x14ac:dyDescent="0.25">
      <c r="A41" s="2" t="s">
        <v>41</v>
      </c>
      <c r="M41">
        <f t="shared" si="1"/>
        <v>13</v>
      </c>
      <c r="N41" t="str">
        <f t="shared" si="2"/>
        <v>nro_dest</v>
      </c>
      <c r="O41" t="str">
        <f t="shared" si="0"/>
        <v>nro_dest TEXT,</v>
      </c>
    </row>
    <row r="42" spans="1:15" x14ac:dyDescent="0.25">
      <c r="A42" s="2" t="s">
        <v>42</v>
      </c>
      <c r="M42">
        <f t="shared" si="1"/>
        <v>13</v>
      </c>
      <c r="N42" t="str">
        <f t="shared" si="2"/>
        <v>cpl_dest</v>
      </c>
      <c r="O42" t="str">
        <f t="shared" si="0"/>
        <v>cpl_dest TEXT,</v>
      </c>
    </row>
    <row r="43" spans="1:15" x14ac:dyDescent="0.25">
      <c r="A43" s="2" t="s">
        <v>43</v>
      </c>
      <c r="M43">
        <f t="shared" si="1"/>
        <v>16</v>
      </c>
      <c r="N43" t="str">
        <f t="shared" si="2"/>
        <v>bairro_dest</v>
      </c>
      <c r="O43" t="str">
        <f t="shared" si="0"/>
        <v>bairro_dest TEXT,</v>
      </c>
    </row>
    <row r="44" spans="1:15" x14ac:dyDescent="0.25">
      <c r="A44" s="2" t="s">
        <v>44</v>
      </c>
      <c r="M44">
        <f t="shared" si="1"/>
        <v>17</v>
      </c>
      <c r="N44" t="str">
        <f t="shared" si="2"/>
        <v>cod_mun_dest</v>
      </c>
      <c r="O44" t="str">
        <f t="shared" si="0"/>
        <v>cod_mun_dest TEXT,</v>
      </c>
    </row>
    <row r="45" spans="1:15" x14ac:dyDescent="0.25">
      <c r="A45" s="2" t="s">
        <v>45</v>
      </c>
      <c r="M45">
        <f t="shared" si="1"/>
        <v>13</v>
      </c>
      <c r="N45" t="str">
        <f t="shared" si="2"/>
        <v>mun_dest</v>
      </c>
      <c r="O45" t="str">
        <f t="shared" si="0"/>
        <v>mun_dest TEXT,</v>
      </c>
    </row>
    <row r="46" spans="1:15" x14ac:dyDescent="0.25">
      <c r="A46" s="2" t="s">
        <v>46</v>
      </c>
      <c r="M46">
        <f t="shared" si="1"/>
        <v>12</v>
      </c>
      <c r="N46" t="str">
        <f t="shared" si="2"/>
        <v>uf_dest</v>
      </c>
      <c r="O46" t="str">
        <f t="shared" si="0"/>
        <v>uf_dest TEXT,</v>
      </c>
    </row>
    <row r="47" spans="1:15" x14ac:dyDescent="0.25">
      <c r="A47" s="2" t="s">
        <v>47</v>
      </c>
      <c r="M47">
        <f t="shared" si="1"/>
        <v>13</v>
      </c>
      <c r="N47" t="str">
        <f t="shared" si="2"/>
        <v>cep_dest</v>
      </c>
      <c r="O47" t="str">
        <f t="shared" si="0"/>
        <v>cep_dest TEXT,</v>
      </c>
    </row>
    <row r="48" spans="1:15" x14ac:dyDescent="0.25">
      <c r="A48" s="2" t="s">
        <v>48</v>
      </c>
      <c r="M48">
        <f t="shared" si="1"/>
        <v>18</v>
      </c>
      <c r="N48" t="str">
        <f t="shared" si="2"/>
        <v>cod_pais_dest</v>
      </c>
      <c r="O48" t="str">
        <f t="shared" si="0"/>
        <v>cod_pais_dest TEXT,</v>
      </c>
    </row>
    <row r="49" spans="1:15" x14ac:dyDescent="0.25">
      <c r="A49" s="2" t="s">
        <v>49</v>
      </c>
      <c r="M49">
        <f t="shared" si="1"/>
        <v>14</v>
      </c>
      <c r="N49" t="str">
        <f t="shared" si="2"/>
        <v>pais_dest</v>
      </c>
      <c r="O49" t="str">
        <f t="shared" si="0"/>
        <v>pais_dest TEXT,</v>
      </c>
    </row>
    <row r="50" spans="1:15" x14ac:dyDescent="0.25">
      <c r="A50" s="2" t="s">
        <v>50</v>
      </c>
      <c r="M50">
        <f t="shared" si="1"/>
        <v>14</v>
      </c>
      <c r="N50" t="str">
        <f t="shared" si="2"/>
        <v>fone_dest</v>
      </c>
      <c r="O50" t="str">
        <f t="shared" si="0"/>
        <v>fone_dest TEXT,</v>
      </c>
    </row>
    <row r="51" spans="1:15" x14ac:dyDescent="0.25">
      <c r="A51" s="2" t="s">
        <v>51</v>
      </c>
      <c r="M51">
        <f t="shared" si="1"/>
        <v>16</v>
      </c>
      <c r="N51" t="str">
        <f t="shared" si="2"/>
        <v>sit_ie_dest</v>
      </c>
      <c r="O51" t="str">
        <f t="shared" si="0"/>
        <v>sit_ie_dest TEXT,</v>
      </c>
    </row>
    <row r="52" spans="1:15" x14ac:dyDescent="0.25">
      <c r="A52" s="2" t="s">
        <v>52</v>
      </c>
      <c r="M52">
        <f t="shared" si="1"/>
        <v>12</v>
      </c>
      <c r="N52" t="str">
        <f t="shared" si="2"/>
        <v>ie_dest</v>
      </c>
      <c r="O52" t="str">
        <f t="shared" si="0"/>
        <v>ie_dest TEXT,</v>
      </c>
    </row>
    <row r="53" spans="1:15" x14ac:dyDescent="0.25">
      <c r="A53" s="2" t="s">
        <v>53</v>
      </c>
      <c r="M53">
        <f t="shared" si="1"/>
        <v>14</v>
      </c>
      <c r="N53" t="str">
        <f t="shared" si="2"/>
        <v>isuf_dest</v>
      </c>
      <c r="O53" t="str">
        <f t="shared" si="0"/>
        <v>isuf_dest TEXT,</v>
      </c>
    </row>
    <row r="54" spans="1:15" x14ac:dyDescent="0.25">
      <c r="A54" s="2" t="s">
        <v>54</v>
      </c>
      <c r="M54">
        <f t="shared" si="1"/>
        <v>12</v>
      </c>
      <c r="N54" t="str">
        <f t="shared" si="2"/>
        <v>im_dest</v>
      </c>
      <c r="O54" t="str">
        <f t="shared" si="0"/>
        <v>im_dest TEXT,</v>
      </c>
    </row>
    <row r="55" spans="1:15" x14ac:dyDescent="0.25">
      <c r="A55" s="1" t="s">
        <v>55</v>
      </c>
      <c r="M55">
        <f t="shared" si="1"/>
        <v>15</v>
      </c>
      <c r="N55" t="str">
        <f t="shared" si="2"/>
        <v>email_dest</v>
      </c>
      <c r="O55" t="str">
        <f t="shared" si="0"/>
        <v>email_dest TEXT,</v>
      </c>
    </row>
    <row r="56" spans="1:15" x14ac:dyDescent="0.25">
      <c r="A56" s="2" t="s">
        <v>205</v>
      </c>
      <c r="M56">
        <f t="shared" si="1"/>
        <v>14</v>
      </c>
      <c r="N56" t="str">
        <f>MID(A56,1,M56-1)</f>
        <v xml:space="preserve">doc_retirada </v>
      </c>
      <c r="O56" t="str">
        <f t="shared" si="0"/>
        <v>doc_retirada  TEXT,</v>
      </c>
    </row>
    <row r="57" spans="1:15" x14ac:dyDescent="0.25">
      <c r="A57" s="2" t="s">
        <v>56</v>
      </c>
      <c r="M57">
        <f t="shared" si="1"/>
        <v>18</v>
      </c>
      <c r="N57" t="str">
        <f t="shared" si="2"/>
        <v>nome_retirada</v>
      </c>
      <c r="O57" t="str">
        <f t="shared" si="0"/>
        <v>nome_retirada TEXT,</v>
      </c>
    </row>
    <row r="58" spans="1:15" x14ac:dyDescent="0.25">
      <c r="A58" s="2" t="s">
        <v>57</v>
      </c>
      <c r="M58">
        <f t="shared" si="1"/>
        <v>17</v>
      </c>
      <c r="N58" t="str">
        <f t="shared" si="2"/>
        <v>rua_retirada</v>
      </c>
      <c r="O58" t="str">
        <f t="shared" si="0"/>
        <v>rua_retirada TEXT,</v>
      </c>
    </row>
    <row r="59" spans="1:15" x14ac:dyDescent="0.25">
      <c r="A59" s="2" t="s">
        <v>58</v>
      </c>
      <c r="M59">
        <f t="shared" si="1"/>
        <v>17</v>
      </c>
      <c r="N59" t="str">
        <f t="shared" si="2"/>
        <v>nro_retirada</v>
      </c>
      <c r="O59" t="str">
        <f t="shared" si="0"/>
        <v>nro_retirada TEXT,</v>
      </c>
    </row>
    <row r="60" spans="1:15" x14ac:dyDescent="0.25">
      <c r="A60" s="2" t="s">
        <v>59</v>
      </c>
      <c r="M60">
        <f t="shared" si="1"/>
        <v>17</v>
      </c>
      <c r="N60" t="str">
        <f t="shared" si="2"/>
        <v>cpl_retirada</v>
      </c>
      <c r="O60" t="str">
        <f t="shared" si="0"/>
        <v>cpl_retirada TEXT,</v>
      </c>
    </row>
    <row r="61" spans="1:15" x14ac:dyDescent="0.25">
      <c r="A61" s="2" t="s">
        <v>60</v>
      </c>
      <c r="M61">
        <f t="shared" si="1"/>
        <v>20</v>
      </c>
      <c r="N61" t="str">
        <f t="shared" si="2"/>
        <v>bairro_retirada</v>
      </c>
      <c r="O61" t="str">
        <f t="shared" si="0"/>
        <v>bairro_retirada TEXT,</v>
      </c>
    </row>
    <row r="62" spans="1:15" x14ac:dyDescent="0.25">
      <c r="A62" s="2" t="s">
        <v>61</v>
      </c>
      <c r="M62">
        <f t="shared" si="1"/>
        <v>21</v>
      </c>
      <c r="N62" t="str">
        <f t="shared" si="2"/>
        <v>cod_mun_retirada</v>
      </c>
      <c r="O62" t="str">
        <f t="shared" si="0"/>
        <v>cod_mun_retirada TEXT,</v>
      </c>
    </row>
    <row r="63" spans="1:15" x14ac:dyDescent="0.25">
      <c r="A63" s="2" t="s">
        <v>62</v>
      </c>
      <c r="M63">
        <f t="shared" si="1"/>
        <v>17</v>
      </c>
      <c r="N63" t="str">
        <f t="shared" si="2"/>
        <v>mun_retirada</v>
      </c>
      <c r="O63" t="str">
        <f t="shared" si="0"/>
        <v>mun_retirada TEXT,</v>
      </c>
    </row>
    <row r="64" spans="1:15" x14ac:dyDescent="0.25">
      <c r="A64" s="2" t="s">
        <v>63</v>
      </c>
      <c r="M64">
        <f t="shared" si="1"/>
        <v>16</v>
      </c>
      <c r="N64" t="str">
        <f t="shared" si="2"/>
        <v>uf_retirada</v>
      </c>
      <c r="O64" t="str">
        <f t="shared" si="0"/>
        <v>uf_retirada TEXT,</v>
      </c>
    </row>
    <row r="65" spans="1:15" x14ac:dyDescent="0.25">
      <c r="A65" s="2" t="s">
        <v>64</v>
      </c>
      <c r="M65">
        <f t="shared" si="1"/>
        <v>17</v>
      </c>
      <c r="N65" t="str">
        <f t="shared" si="2"/>
        <v>cep_retirada</v>
      </c>
      <c r="O65" t="str">
        <f t="shared" si="0"/>
        <v>cep_retirada TEXT,</v>
      </c>
    </row>
    <row r="66" spans="1:15" x14ac:dyDescent="0.25">
      <c r="A66" s="2" t="s">
        <v>65</v>
      </c>
      <c r="M66">
        <f t="shared" si="1"/>
        <v>22</v>
      </c>
      <c r="N66" t="str">
        <f t="shared" si="2"/>
        <v>cod_pais_retirada</v>
      </c>
      <c r="O66" t="str">
        <f t="shared" ref="O66:O129" si="3">N66&amp;" TEXT,"</f>
        <v>cod_pais_retirada TEXT,</v>
      </c>
    </row>
    <row r="67" spans="1:15" x14ac:dyDescent="0.25">
      <c r="A67" s="2" t="s">
        <v>66</v>
      </c>
      <c r="M67">
        <f t="shared" ref="M67:M130" si="4">SEARCH("=",A67,1)</f>
        <v>18</v>
      </c>
      <c r="N67" t="str">
        <f t="shared" si="2"/>
        <v>pais_retirada</v>
      </c>
      <c r="O67" t="str">
        <f t="shared" si="3"/>
        <v>pais_retirada TEXT,</v>
      </c>
    </row>
    <row r="68" spans="1:15" x14ac:dyDescent="0.25">
      <c r="A68" s="2" t="s">
        <v>67</v>
      </c>
      <c r="M68">
        <f t="shared" si="4"/>
        <v>18</v>
      </c>
      <c r="N68" t="str">
        <f t="shared" ref="N68:N114" si="5">MID(A68,5,M68-5)</f>
        <v>fone_retirada</v>
      </c>
      <c r="O68" t="str">
        <f t="shared" si="3"/>
        <v>fone_retirada TEXT,</v>
      </c>
    </row>
    <row r="69" spans="1:15" x14ac:dyDescent="0.25">
      <c r="A69" s="2" t="s">
        <v>68</v>
      </c>
      <c r="M69">
        <f t="shared" si="4"/>
        <v>19</v>
      </c>
      <c r="N69" t="str">
        <f t="shared" si="5"/>
        <v>email_retirada</v>
      </c>
      <c r="O69" t="str">
        <f t="shared" si="3"/>
        <v>email_retirada TEXT,</v>
      </c>
    </row>
    <row r="70" spans="1:15" x14ac:dyDescent="0.25">
      <c r="A70" s="2" t="s">
        <v>69</v>
      </c>
      <c r="M70">
        <f t="shared" si="4"/>
        <v>16</v>
      </c>
      <c r="N70" t="str">
        <f t="shared" si="5"/>
        <v>ie_retirada</v>
      </c>
      <c r="O70" t="str">
        <f t="shared" si="3"/>
        <v>ie_retirada TEXT,</v>
      </c>
    </row>
    <row r="71" spans="1:15" x14ac:dyDescent="0.25">
      <c r="A71" s="2" t="s">
        <v>206</v>
      </c>
      <c r="M71">
        <f t="shared" si="4"/>
        <v>14</v>
      </c>
      <c r="N71" t="s">
        <v>3</v>
      </c>
      <c r="O71" t="str">
        <f t="shared" si="3"/>
        <v>doc_entrega TEXT,</v>
      </c>
    </row>
    <row r="72" spans="1:15" x14ac:dyDescent="0.25">
      <c r="A72" s="2" t="s">
        <v>70</v>
      </c>
      <c r="M72">
        <f t="shared" si="4"/>
        <v>17</v>
      </c>
      <c r="N72" t="str">
        <f t="shared" si="5"/>
        <v>nome_entrega</v>
      </c>
      <c r="O72" t="str">
        <f t="shared" si="3"/>
        <v>nome_entrega TEXT,</v>
      </c>
    </row>
    <row r="73" spans="1:15" x14ac:dyDescent="0.25">
      <c r="A73" s="2" t="s">
        <v>71</v>
      </c>
      <c r="M73">
        <f t="shared" si="4"/>
        <v>16</v>
      </c>
      <c r="N73" t="str">
        <f t="shared" si="5"/>
        <v>rua_entrega</v>
      </c>
      <c r="O73" t="str">
        <f t="shared" si="3"/>
        <v>rua_entrega TEXT,</v>
      </c>
    </row>
    <row r="74" spans="1:15" x14ac:dyDescent="0.25">
      <c r="A74" s="2" t="s">
        <v>72</v>
      </c>
      <c r="M74">
        <f t="shared" si="4"/>
        <v>16</v>
      </c>
      <c r="N74" t="str">
        <f t="shared" si="5"/>
        <v>nro_entrega</v>
      </c>
      <c r="O74" t="str">
        <f t="shared" si="3"/>
        <v>nro_entrega TEXT,</v>
      </c>
    </row>
    <row r="75" spans="1:15" x14ac:dyDescent="0.25">
      <c r="A75" s="2" t="s">
        <v>73</v>
      </c>
      <c r="M75">
        <f t="shared" si="4"/>
        <v>16</v>
      </c>
      <c r="N75" t="str">
        <f t="shared" si="5"/>
        <v>cpl_entrega</v>
      </c>
      <c r="O75" t="str">
        <f t="shared" si="3"/>
        <v>cpl_entrega TEXT,</v>
      </c>
    </row>
    <row r="76" spans="1:15" x14ac:dyDescent="0.25">
      <c r="A76" s="2" t="s">
        <v>74</v>
      </c>
      <c r="M76">
        <f t="shared" si="4"/>
        <v>19</v>
      </c>
      <c r="N76" t="str">
        <f t="shared" si="5"/>
        <v>bairro_entrega</v>
      </c>
      <c r="O76" t="str">
        <f t="shared" si="3"/>
        <v>bairro_entrega TEXT,</v>
      </c>
    </row>
    <row r="77" spans="1:15" x14ac:dyDescent="0.25">
      <c r="A77" s="2" t="s">
        <v>75</v>
      </c>
      <c r="M77">
        <f t="shared" si="4"/>
        <v>20</v>
      </c>
      <c r="N77" t="str">
        <f t="shared" si="5"/>
        <v>cod_mun_entrega</v>
      </c>
      <c r="O77" t="str">
        <f t="shared" si="3"/>
        <v>cod_mun_entrega TEXT,</v>
      </c>
    </row>
    <row r="78" spans="1:15" x14ac:dyDescent="0.25">
      <c r="A78" s="2" t="s">
        <v>76</v>
      </c>
      <c r="M78">
        <f t="shared" si="4"/>
        <v>16</v>
      </c>
      <c r="N78" t="str">
        <f t="shared" si="5"/>
        <v>mun_entrega</v>
      </c>
      <c r="O78" t="str">
        <f t="shared" si="3"/>
        <v>mun_entrega TEXT,</v>
      </c>
    </row>
    <row r="79" spans="1:15" x14ac:dyDescent="0.25">
      <c r="A79" s="2" t="s">
        <v>77</v>
      </c>
      <c r="M79">
        <f t="shared" si="4"/>
        <v>15</v>
      </c>
      <c r="N79" t="str">
        <f t="shared" si="5"/>
        <v>uf_entrega</v>
      </c>
      <c r="O79" t="str">
        <f t="shared" si="3"/>
        <v>uf_entrega TEXT,</v>
      </c>
    </row>
    <row r="80" spans="1:15" x14ac:dyDescent="0.25">
      <c r="A80" s="2" t="s">
        <v>78</v>
      </c>
      <c r="M80">
        <f t="shared" si="4"/>
        <v>16</v>
      </c>
      <c r="N80" t="str">
        <f t="shared" si="5"/>
        <v>cep_entrega</v>
      </c>
      <c r="O80" t="str">
        <f t="shared" si="3"/>
        <v>cep_entrega TEXT,</v>
      </c>
    </row>
    <row r="81" spans="1:15" x14ac:dyDescent="0.25">
      <c r="A81" s="2" t="s">
        <v>79</v>
      </c>
      <c r="M81">
        <f t="shared" si="4"/>
        <v>21</v>
      </c>
      <c r="N81" t="str">
        <f t="shared" si="5"/>
        <v>cod_pais_entrega</v>
      </c>
      <c r="O81" t="str">
        <f t="shared" si="3"/>
        <v>cod_pais_entrega TEXT,</v>
      </c>
    </row>
    <row r="82" spans="1:15" x14ac:dyDescent="0.25">
      <c r="A82" s="2" t="s">
        <v>80</v>
      </c>
      <c r="M82">
        <f t="shared" si="4"/>
        <v>17</v>
      </c>
      <c r="N82" t="str">
        <f t="shared" si="5"/>
        <v>pais_entrega</v>
      </c>
      <c r="O82" t="str">
        <f t="shared" si="3"/>
        <v>pais_entrega TEXT,</v>
      </c>
    </row>
    <row r="83" spans="1:15" x14ac:dyDescent="0.25">
      <c r="A83" s="2" t="s">
        <v>81</v>
      </c>
      <c r="M83">
        <f t="shared" si="4"/>
        <v>17</v>
      </c>
      <c r="N83" t="str">
        <f t="shared" si="5"/>
        <v>fone_entrega</v>
      </c>
      <c r="O83" t="str">
        <f t="shared" si="3"/>
        <v>fone_entrega TEXT,</v>
      </c>
    </row>
    <row r="84" spans="1:15" x14ac:dyDescent="0.25">
      <c r="A84" s="2" t="s">
        <v>82</v>
      </c>
      <c r="M84">
        <f t="shared" si="4"/>
        <v>18</v>
      </c>
      <c r="N84" t="str">
        <f t="shared" si="5"/>
        <v>email_entrega</v>
      </c>
      <c r="O84" t="str">
        <f t="shared" si="3"/>
        <v>email_entrega TEXT,</v>
      </c>
    </row>
    <row r="85" spans="1:15" x14ac:dyDescent="0.25">
      <c r="A85" s="2" t="s">
        <v>83</v>
      </c>
      <c r="M85">
        <f t="shared" si="4"/>
        <v>15</v>
      </c>
      <c r="N85" t="str">
        <f t="shared" si="5"/>
        <v>ie_entrega</v>
      </c>
      <c r="O85" t="str">
        <f t="shared" si="3"/>
        <v>ie_entrega TEXT,</v>
      </c>
    </row>
    <row r="86" spans="1:15" x14ac:dyDescent="0.25">
      <c r="A86" s="2" t="s">
        <v>84</v>
      </c>
      <c r="M86">
        <f t="shared" si="4"/>
        <v>14</v>
      </c>
      <c r="N86" t="str">
        <f t="shared" si="5"/>
        <v>t_bc_icms</v>
      </c>
      <c r="O86" t="str">
        <f t="shared" si="3"/>
        <v>t_bc_icms TEXT,</v>
      </c>
    </row>
    <row r="87" spans="1:15" x14ac:dyDescent="0.25">
      <c r="A87" s="2" t="s">
        <v>85</v>
      </c>
      <c r="M87">
        <f t="shared" si="4"/>
        <v>13</v>
      </c>
      <c r="N87" t="str">
        <f t="shared" si="5"/>
        <v>t_v_icms</v>
      </c>
      <c r="O87" t="str">
        <f t="shared" si="3"/>
        <v>t_v_icms TEXT,</v>
      </c>
    </row>
    <row r="88" spans="1:15" x14ac:dyDescent="0.25">
      <c r="A88" s="2" t="s">
        <v>86</v>
      </c>
      <c r="M88">
        <f t="shared" si="4"/>
        <v>13</v>
      </c>
      <c r="N88" t="str">
        <f t="shared" si="5"/>
        <v>t_v_deso</v>
      </c>
      <c r="O88" t="str">
        <f t="shared" si="3"/>
        <v>t_v_deso TEXT,</v>
      </c>
    </row>
    <row r="89" spans="1:15" x14ac:dyDescent="0.25">
      <c r="A89" s="2" t="s">
        <v>87</v>
      </c>
      <c r="M89">
        <f t="shared" si="4"/>
        <v>14</v>
      </c>
      <c r="N89" t="str">
        <f t="shared" si="5"/>
        <v>pcfufdest</v>
      </c>
      <c r="O89" t="str">
        <f t="shared" si="3"/>
        <v>pcfufdest TEXT,</v>
      </c>
    </row>
    <row r="90" spans="1:15" x14ac:dyDescent="0.25">
      <c r="A90" s="2" t="s">
        <v>88</v>
      </c>
      <c r="M90">
        <f t="shared" si="4"/>
        <v>15</v>
      </c>
      <c r="N90" t="str">
        <f t="shared" si="5"/>
        <v>icmsufdest</v>
      </c>
      <c r="O90" t="str">
        <f t="shared" si="3"/>
        <v>icmsufdest TEXT,</v>
      </c>
    </row>
    <row r="91" spans="1:15" x14ac:dyDescent="0.25">
      <c r="A91" s="2" t="s">
        <v>89</v>
      </c>
      <c r="M91">
        <f t="shared" si="4"/>
        <v>16</v>
      </c>
      <c r="N91" t="str">
        <f t="shared" si="5"/>
        <v>icmsufremet</v>
      </c>
      <c r="O91" t="str">
        <f t="shared" si="3"/>
        <v>icmsufremet TEXT,</v>
      </c>
    </row>
    <row r="92" spans="1:15" x14ac:dyDescent="0.25">
      <c r="A92" s="2" t="s">
        <v>90</v>
      </c>
      <c r="M92">
        <f t="shared" si="4"/>
        <v>10</v>
      </c>
      <c r="N92" t="str">
        <f t="shared" si="5"/>
        <v>t_fcp</v>
      </c>
      <c r="O92" t="str">
        <f t="shared" si="3"/>
        <v>t_fcp TEXT,</v>
      </c>
    </row>
    <row r="93" spans="1:15" x14ac:dyDescent="0.25">
      <c r="A93" s="2" t="s">
        <v>91</v>
      </c>
      <c r="M93">
        <f t="shared" si="4"/>
        <v>11</v>
      </c>
      <c r="N93" t="str">
        <f t="shared" si="5"/>
        <v>t_bcst</v>
      </c>
      <c r="O93" t="str">
        <f t="shared" si="3"/>
        <v>t_bcst TEXT,</v>
      </c>
    </row>
    <row r="94" spans="1:15" x14ac:dyDescent="0.25">
      <c r="A94" s="2" t="s">
        <v>92</v>
      </c>
      <c r="M94">
        <f t="shared" si="4"/>
        <v>9</v>
      </c>
      <c r="N94" t="str">
        <f t="shared" si="5"/>
        <v>t_st</v>
      </c>
      <c r="O94" t="str">
        <f t="shared" si="3"/>
        <v>t_st TEXT,</v>
      </c>
    </row>
    <row r="95" spans="1:15" x14ac:dyDescent="0.25">
      <c r="A95" s="2" t="s">
        <v>93</v>
      </c>
      <c r="M95">
        <f t="shared" si="4"/>
        <v>12</v>
      </c>
      <c r="N95" t="str">
        <f t="shared" si="5"/>
        <v>t_fcpst</v>
      </c>
      <c r="O95" t="str">
        <f t="shared" si="3"/>
        <v>t_fcpst TEXT,</v>
      </c>
    </row>
    <row r="96" spans="1:15" x14ac:dyDescent="0.25">
      <c r="A96" s="2" t="s">
        <v>94</v>
      </c>
      <c r="M96">
        <f t="shared" si="4"/>
        <v>16</v>
      </c>
      <c r="N96" t="str">
        <f t="shared" si="5"/>
        <v>t_fcpst_ret</v>
      </c>
      <c r="O96" t="str">
        <f t="shared" si="3"/>
        <v>t_fcpst_ret TEXT,</v>
      </c>
    </row>
    <row r="97" spans="1:15" x14ac:dyDescent="0.25">
      <c r="A97" s="2" t="s">
        <v>95</v>
      </c>
      <c r="M97">
        <f t="shared" si="4"/>
        <v>12</v>
      </c>
      <c r="N97" t="str">
        <f t="shared" si="5"/>
        <v>t_vprod</v>
      </c>
      <c r="O97" t="str">
        <f t="shared" si="3"/>
        <v>t_vprod TEXT,</v>
      </c>
    </row>
    <row r="98" spans="1:15" x14ac:dyDescent="0.25">
      <c r="A98" s="2" t="s">
        <v>96</v>
      </c>
      <c r="M98">
        <f t="shared" si="4"/>
        <v>13</v>
      </c>
      <c r="N98" t="str">
        <f t="shared" si="5"/>
        <v>t_vfrete</v>
      </c>
      <c r="O98" t="str">
        <f t="shared" si="3"/>
        <v>t_vfrete TEXT,</v>
      </c>
    </row>
    <row r="99" spans="1:15" x14ac:dyDescent="0.25">
      <c r="A99" s="2" t="s">
        <v>97</v>
      </c>
      <c r="M99">
        <f t="shared" si="4"/>
        <v>14</v>
      </c>
      <c r="N99" t="str">
        <f t="shared" si="5"/>
        <v>t_vseguro</v>
      </c>
      <c r="O99" t="str">
        <f t="shared" si="3"/>
        <v>t_vseguro TEXT,</v>
      </c>
    </row>
    <row r="100" spans="1:15" x14ac:dyDescent="0.25">
      <c r="A100" s="2" t="s">
        <v>98</v>
      </c>
      <c r="M100">
        <f t="shared" si="4"/>
        <v>12</v>
      </c>
      <c r="N100" t="str">
        <f t="shared" si="5"/>
        <v>t_vdesc</v>
      </c>
      <c r="O100" t="str">
        <f t="shared" si="3"/>
        <v>t_vdesc TEXT,</v>
      </c>
    </row>
    <row r="101" spans="1:15" x14ac:dyDescent="0.25">
      <c r="A101" s="2" t="s">
        <v>99</v>
      </c>
      <c r="M101">
        <f t="shared" si="4"/>
        <v>10</v>
      </c>
      <c r="N101" t="str">
        <f t="shared" si="5"/>
        <v>t_vii</v>
      </c>
      <c r="O101" t="str">
        <f t="shared" si="3"/>
        <v>t_vii TEXT,</v>
      </c>
    </row>
    <row r="102" spans="1:15" x14ac:dyDescent="0.25">
      <c r="A102" s="2" t="s">
        <v>100</v>
      </c>
      <c r="M102">
        <f t="shared" si="4"/>
        <v>11</v>
      </c>
      <c r="N102" t="str">
        <f t="shared" si="5"/>
        <v>t_vipi</v>
      </c>
      <c r="O102" t="str">
        <f t="shared" si="3"/>
        <v>t_vipi TEXT,</v>
      </c>
    </row>
    <row r="103" spans="1:15" x14ac:dyDescent="0.25">
      <c r="A103" s="2" t="s">
        <v>101</v>
      </c>
      <c r="M103">
        <f t="shared" si="4"/>
        <v>11</v>
      </c>
      <c r="N103" t="str">
        <f t="shared" si="5"/>
        <v>t_vpis</v>
      </c>
      <c r="O103" t="str">
        <f t="shared" si="3"/>
        <v>t_vpis TEXT,</v>
      </c>
    </row>
    <row r="104" spans="1:15" x14ac:dyDescent="0.25">
      <c r="A104" s="2" t="s">
        <v>102</v>
      </c>
      <c r="M104">
        <f t="shared" si="4"/>
        <v>14</v>
      </c>
      <c r="N104" t="str">
        <f t="shared" si="5"/>
        <v>t_vcofins</v>
      </c>
      <c r="O104" t="str">
        <f t="shared" si="3"/>
        <v>t_vcofins TEXT,</v>
      </c>
    </row>
    <row r="105" spans="1:15" x14ac:dyDescent="0.25">
      <c r="A105" s="2" t="s">
        <v>103</v>
      </c>
      <c r="M105">
        <f t="shared" si="4"/>
        <v>13</v>
      </c>
      <c r="N105" t="str">
        <f t="shared" si="5"/>
        <v>t_voutro</v>
      </c>
      <c r="O105" t="str">
        <f t="shared" si="3"/>
        <v>t_voutro TEXT,</v>
      </c>
    </row>
    <row r="106" spans="1:15" x14ac:dyDescent="0.25">
      <c r="A106" s="2" t="s">
        <v>104</v>
      </c>
      <c r="M106">
        <f t="shared" si="4"/>
        <v>9</v>
      </c>
      <c r="N106" t="str">
        <f t="shared" si="5"/>
        <v>t_nf</v>
      </c>
      <c r="O106" t="str">
        <f t="shared" si="3"/>
        <v>t_nf TEXT,</v>
      </c>
    </row>
    <row r="107" spans="1:15" x14ac:dyDescent="0.25">
      <c r="A107" s="2" t="s">
        <v>105</v>
      </c>
      <c r="M107">
        <f t="shared" si="4"/>
        <v>11</v>
      </c>
      <c r="N107" t="str">
        <f t="shared" si="5"/>
        <v>t_trib</v>
      </c>
      <c r="O107" t="str">
        <f t="shared" si="3"/>
        <v>t_trib TEXT,</v>
      </c>
    </row>
    <row r="108" spans="1:15" x14ac:dyDescent="0.25">
      <c r="A108" s="1" t="s">
        <v>106</v>
      </c>
      <c r="M108">
        <f t="shared" si="4"/>
        <v>13</v>
      </c>
      <c r="N108" t="str">
        <f t="shared" si="5"/>
        <v>modfrete</v>
      </c>
      <c r="O108" t="str">
        <f t="shared" si="3"/>
        <v>modfrete TEXT,</v>
      </c>
    </row>
    <row r="109" spans="1:15" x14ac:dyDescent="0.25">
      <c r="A109" s="2" t="s">
        <v>207</v>
      </c>
      <c r="M109">
        <f t="shared" si="4"/>
        <v>11</v>
      </c>
      <c r="N109" t="s">
        <v>4</v>
      </c>
      <c r="O109" t="str">
        <f t="shared" si="3"/>
        <v>doc_trans TEXT,</v>
      </c>
    </row>
    <row r="110" spans="1:15" x14ac:dyDescent="0.25">
      <c r="A110" s="2" t="s">
        <v>107</v>
      </c>
      <c r="M110">
        <f t="shared" si="4"/>
        <v>15</v>
      </c>
      <c r="N110" t="str">
        <f t="shared" si="5"/>
        <v>nome_trans</v>
      </c>
      <c r="O110" t="str">
        <f t="shared" si="3"/>
        <v>nome_trans TEXT,</v>
      </c>
    </row>
    <row r="111" spans="1:15" x14ac:dyDescent="0.25">
      <c r="A111" s="2" t="s">
        <v>108</v>
      </c>
      <c r="M111">
        <f t="shared" si="4"/>
        <v>13</v>
      </c>
      <c r="N111" t="str">
        <f t="shared" si="5"/>
        <v>ie_trans</v>
      </c>
      <c r="O111" t="str">
        <f t="shared" si="3"/>
        <v>ie_trans TEXT,</v>
      </c>
    </row>
    <row r="112" spans="1:15" x14ac:dyDescent="0.25">
      <c r="A112" s="2" t="s">
        <v>109</v>
      </c>
      <c r="M112">
        <f t="shared" si="4"/>
        <v>16</v>
      </c>
      <c r="N112" t="str">
        <f t="shared" si="5"/>
        <v>ender_trans</v>
      </c>
      <c r="O112" t="str">
        <f t="shared" si="3"/>
        <v>ender_trans TEXT,</v>
      </c>
    </row>
    <row r="113" spans="1:19" x14ac:dyDescent="0.25">
      <c r="A113" s="2" t="s">
        <v>110</v>
      </c>
      <c r="M113">
        <f t="shared" si="4"/>
        <v>14</v>
      </c>
      <c r="N113" t="str">
        <f t="shared" si="5"/>
        <v>mun_trans</v>
      </c>
      <c r="O113" t="str">
        <f t="shared" si="3"/>
        <v>mun_trans TEXT,</v>
      </c>
    </row>
    <row r="114" spans="1:19" x14ac:dyDescent="0.25">
      <c r="A114" s="2" t="s">
        <v>111</v>
      </c>
      <c r="M114">
        <f t="shared" si="4"/>
        <v>13</v>
      </c>
      <c r="N114" t="str">
        <f t="shared" si="5"/>
        <v>uf_trans</v>
      </c>
      <c r="O114" t="str">
        <f t="shared" si="3"/>
        <v>uf_trans TEXT,</v>
      </c>
    </row>
    <row r="115" spans="1:19" x14ac:dyDescent="0.25">
      <c r="A115" s="2" t="s">
        <v>112</v>
      </c>
      <c r="M115">
        <f t="shared" si="4"/>
        <v>20</v>
      </c>
      <c r="N115" t="str">
        <f>MID(A115,5,M115-5)</f>
        <v>data_importacao</v>
      </c>
      <c r="O115" t="str">
        <f t="shared" si="3"/>
        <v>data_importacao TEXT,</v>
      </c>
    </row>
    <row r="116" spans="1:19" x14ac:dyDescent="0.25">
      <c r="A116" s="2" t="s">
        <v>113</v>
      </c>
      <c r="M116">
        <f t="shared" si="4"/>
        <v>15</v>
      </c>
      <c r="N116" t="str">
        <f>MID(A116,7,M116-7)</f>
        <v>cod_item</v>
      </c>
      <c r="O116" t="str">
        <f t="shared" si="3"/>
        <v>cod_item TEXT,</v>
      </c>
      <c r="R116" t="s">
        <v>209</v>
      </c>
      <c r="S116" t="s">
        <v>210</v>
      </c>
    </row>
    <row r="117" spans="1:19" x14ac:dyDescent="0.25">
      <c r="A117" s="2" t="s">
        <v>114</v>
      </c>
      <c r="M117">
        <f t="shared" si="4"/>
        <v>12</v>
      </c>
      <c r="N117" t="str">
        <f t="shared" ref="N117:N180" si="6">MID(A117,7,M117-7)</f>
        <v>c_ean</v>
      </c>
      <c r="O117" t="str">
        <f t="shared" si="3"/>
        <v>c_ean TEXT,</v>
      </c>
    </row>
    <row r="118" spans="1:19" x14ac:dyDescent="0.25">
      <c r="A118" s="2" t="s">
        <v>115</v>
      </c>
      <c r="M118">
        <f t="shared" si="4"/>
        <v>14</v>
      </c>
      <c r="N118" t="str">
        <f t="shared" si="6"/>
        <v>c_barra</v>
      </c>
      <c r="O118" t="str">
        <f t="shared" si="3"/>
        <v>c_barra TEXT,</v>
      </c>
    </row>
    <row r="119" spans="1:19" x14ac:dyDescent="0.25">
      <c r="A119" s="2" t="s">
        <v>116</v>
      </c>
      <c r="M119">
        <f t="shared" si="4"/>
        <v>21</v>
      </c>
      <c r="N119" t="str">
        <f t="shared" si="6"/>
        <v>descricao_item</v>
      </c>
      <c r="O119" t="str">
        <f t="shared" si="3"/>
        <v>descricao_item TEXT,</v>
      </c>
    </row>
    <row r="120" spans="1:19" x14ac:dyDescent="0.25">
      <c r="A120" s="2" t="s">
        <v>117</v>
      </c>
      <c r="M120">
        <f t="shared" si="4"/>
        <v>10</v>
      </c>
      <c r="N120" t="str">
        <f t="shared" si="6"/>
        <v>ncm</v>
      </c>
      <c r="O120" t="str">
        <f t="shared" si="3"/>
        <v>ncm TEXT,</v>
      </c>
    </row>
    <row r="121" spans="1:19" x14ac:dyDescent="0.25">
      <c r="A121" s="2" t="s">
        <v>118</v>
      </c>
      <c r="M121">
        <f t="shared" si="4"/>
        <v>10</v>
      </c>
      <c r="N121" t="str">
        <f t="shared" si="6"/>
        <v>nve</v>
      </c>
      <c r="O121" t="str">
        <f t="shared" si="3"/>
        <v>nve TEXT,</v>
      </c>
    </row>
    <row r="122" spans="1:19" x14ac:dyDescent="0.25">
      <c r="A122" s="2" t="s">
        <v>119</v>
      </c>
      <c r="M122">
        <f t="shared" si="4"/>
        <v>11</v>
      </c>
      <c r="N122" t="str">
        <f t="shared" si="6"/>
        <v>cest</v>
      </c>
      <c r="O122" t="str">
        <f t="shared" si="3"/>
        <v>cest TEXT,</v>
      </c>
    </row>
    <row r="123" spans="1:19" x14ac:dyDescent="0.25">
      <c r="A123" s="2" t="s">
        <v>120</v>
      </c>
      <c r="M123">
        <f t="shared" si="4"/>
        <v>11</v>
      </c>
      <c r="N123" t="str">
        <f t="shared" si="6"/>
        <v>cfop</v>
      </c>
      <c r="O123" t="str">
        <f t="shared" si="3"/>
        <v>cfop TEXT,</v>
      </c>
    </row>
    <row r="124" spans="1:19" x14ac:dyDescent="0.25">
      <c r="A124" s="2" t="s">
        <v>121</v>
      </c>
      <c r="M124">
        <f t="shared" si="4"/>
        <v>16</v>
      </c>
      <c r="N124" t="str">
        <f t="shared" si="6"/>
        <v>un_medida</v>
      </c>
      <c r="O124" t="str">
        <f t="shared" si="3"/>
        <v>un_medida TEXT,</v>
      </c>
    </row>
    <row r="125" spans="1:19" x14ac:dyDescent="0.25">
      <c r="A125" s="2" t="s">
        <v>122</v>
      </c>
      <c r="M125">
        <f t="shared" si="4"/>
        <v>15</v>
      </c>
      <c r="N125" t="str">
        <f t="shared" si="6"/>
        <v>qtd_item</v>
      </c>
      <c r="O125" t="str">
        <f t="shared" si="3"/>
        <v>qtd_item TEXT,</v>
      </c>
    </row>
    <row r="126" spans="1:19" x14ac:dyDescent="0.25">
      <c r="A126" s="2" t="s">
        <v>123</v>
      </c>
      <c r="M126">
        <f t="shared" si="4"/>
        <v>20</v>
      </c>
      <c r="N126" t="str">
        <f t="shared" si="6"/>
        <v>vlr_unit_item</v>
      </c>
      <c r="O126" t="str">
        <f t="shared" si="3"/>
        <v>vlr_unit_item TEXT,</v>
      </c>
    </row>
    <row r="127" spans="1:19" x14ac:dyDescent="0.25">
      <c r="A127" s="2" t="s">
        <v>124</v>
      </c>
      <c r="M127">
        <f t="shared" si="4"/>
        <v>15</v>
      </c>
      <c r="N127" t="str">
        <f t="shared" si="6"/>
        <v>vlr_item</v>
      </c>
      <c r="O127" t="str">
        <f t="shared" si="3"/>
        <v>vlr_item TEXT,</v>
      </c>
    </row>
    <row r="128" spans="1:19" x14ac:dyDescent="0.25">
      <c r="A128" s="2" t="s">
        <v>125</v>
      </c>
      <c r="M128">
        <f t="shared" si="4"/>
        <v>17</v>
      </c>
      <c r="N128" t="str">
        <f t="shared" si="6"/>
        <v>ind_escala</v>
      </c>
      <c r="O128" t="str">
        <f t="shared" si="3"/>
        <v>ind_escala TEXT,</v>
      </c>
    </row>
    <row r="129" spans="1:15" x14ac:dyDescent="0.25">
      <c r="A129" s="2" t="s">
        <v>126</v>
      </c>
      <c r="M129">
        <f t="shared" si="4"/>
        <v>15</v>
      </c>
      <c r="N129" t="str">
        <f t="shared" si="6"/>
        <v>cnpj_fab</v>
      </c>
      <c r="O129" t="str">
        <f t="shared" si="3"/>
        <v>cnpj_fab TEXT,</v>
      </c>
    </row>
    <row r="130" spans="1:15" x14ac:dyDescent="0.25">
      <c r="A130" s="2" t="s">
        <v>127</v>
      </c>
      <c r="M130">
        <f t="shared" si="4"/>
        <v>14</v>
      </c>
      <c r="N130" t="str">
        <f t="shared" si="6"/>
        <v>c_benef</v>
      </c>
      <c r="O130" t="str">
        <f t="shared" ref="O130:O193" si="7">N130&amp;" TEXT,"</f>
        <v>c_benef TEXT,</v>
      </c>
    </row>
    <row r="131" spans="1:15" x14ac:dyDescent="0.25">
      <c r="A131" s="2" t="s">
        <v>128</v>
      </c>
      <c r="M131">
        <f t="shared" ref="M131:M194" si="8">SEARCH("=",A131,1)</f>
        <v>14</v>
      </c>
      <c r="N131" t="str">
        <f t="shared" si="6"/>
        <v>ex_tipi</v>
      </c>
      <c r="O131" t="str">
        <f t="shared" si="7"/>
        <v>ex_tipi TEXT,</v>
      </c>
    </row>
    <row r="132" spans="1:15" x14ac:dyDescent="0.25">
      <c r="A132" s="2" t="s">
        <v>129</v>
      </c>
      <c r="M132">
        <f t="shared" si="8"/>
        <v>13</v>
      </c>
      <c r="N132" t="str">
        <f t="shared" si="6"/>
        <v>u_trib</v>
      </c>
      <c r="O132" t="str">
        <f t="shared" si="7"/>
        <v>u_trib TEXT,</v>
      </c>
    </row>
    <row r="133" spans="1:15" x14ac:dyDescent="0.25">
      <c r="A133" s="2" t="s">
        <v>130</v>
      </c>
      <c r="M133">
        <f t="shared" si="8"/>
        <v>13</v>
      </c>
      <c r="N133" t="str">
        <f t="shared" si="6"/>
        <v>q_trib</v>
      </c>
      <c r="O133" t="str">
        <f t="shared" si="7"/>
        <v>q_trib TEXT,</v>
      </c>
    </row>
    <row r="134" spans="1:15" x14ac:dyDescent="0.25">
      <c r="A134" s="2" t="s">
        <v>131</v>
      </c>
      <c r="M134">
        <f t="shared" si="8"/>
        <v>16</v>
      </c>
      <c r="N134" t="str">
        <f t="shared" si="6"/>
        <v>v_un_trib</v>
      </c>
      <c r="O134" t="str">
        <f t="shared" si="7"/>
        <v>v_un_trib TEXT,</v>
      </c>
    </row>
    <row r="135" spans="1:15" x14ac:dyDescent="0.25">
      <c r="A135" s="2" t="s">
        <v>132</v>
      </c>
      <c r="M135">
        <f t="shared" si="8"/>
        <v>14</v>
      </c>
      <c r="N135" t="str">
        <f t="shared" si="6"/>
        <v>v_frete</v>
      </c>
      <c r="O135" t="str">
        <f t="shared" si="7"/>
        <v>v_frete TEXT,</v>
      </c>
    </row>
    <row r="136" spans="1:15" x14ac:dyDescent="0.25">
      <c r="A136" s="2" t="s">
        <v>133</v>
      </c>
      <c r="M136">
        <f t="shared" si="8"/>
        <v>12</v>
      </c>
      <c r="N136" t="str">
        <f t="shared" si="6"/>
        <v>v_seg</v>
      </c>
      <c r="O136" t="str">
        <f t="shared" si="7"/>
        <v>v_seg TEXT,</v>
      </c>
    </row>
    <row r="137" spans="1:15" x14ac:dyDescent="0.25">
      <c r="A137" s="2" t="s">
        <v>134</v>
      </c>
      <c r="M137">
        <f t="shared" si="8"/>
        <v>13</v>
      </c>
      <c r="N137" t="str">
        <f t="shared" si="6"/>
        <v>v_desc</v>
      </c>
      <c r="O137" t="str">
        <f t="shared" si="7"/>
        <v>v_desc TEXT,</v>
      </c>
    </row>
    <row r="138" spans="1:15" x14ac:dyDescent="0.25">
      <c r="A138" s="2" t="s">
        <v>135</v>
      </c>
      <c r="M138">
        <f t="shared" si="8"/>
        <v>14</v>
      </c>
      <c r="N138" t="str">
        <f t="shared" si="6"/>
        <v>v_outro</v>
      </c>
      <c r="O138" t="str">
        <f t="shared" si="7"/>
        <v>v_outro TEXT,</v>
      </c>
    </row>
    <row r="139" spans="1:15" x14ac:dyDescent="0.25">
      <c r="A139" s="1" t="s">
        <v>136</v>
      </c>
      <c r="M139">
        <f t="shared" si="8"/>
        <v>14</v>
      </c>
      <c r="N139" t="str">
        <f t="shared" si="6"/>
        <v>ind_tot</v>
      </c>
      <c r="O139" t="str">
        <f t="shared" si="7"/>
        <v>ind_tot TEXT,</v>
      </c>
    </row>
    <row r="140" spans="1:15" x14ac:dyDescent="0.25">
      <c r="A140" s="1" t="s">
        <v>137</v>
      </c>
      <c r="M140">
        <f t="shared" si="8"/>
        <v>11</v>
      </c>
      <c r="N140" t="str">
        <f t="shared" si="6"/>
        <v>orig</v>
      </c>
      <c r="O140" t="str">
        <f t="shared" si="7"/>
        <v>orig TEXT,</v>
      </c>
    </row>
    <row r="141" spans="1:15" x14ac:dyDescent="0.25">
      <c r="A141" s="2" t="s">
        <v>138</v>
      </c>
      <c r="M141">
        <f t="shared" si="8"/>
        <v>16</v>
      </c>
      <c r="N141" t="str">
        <f t="shared" si="6"/>
        <v>cst_csosn</v>
      </c>
      <c r="O141" t="str">
        <f t="shared" si="7"/>
        <v>cst_csosn TEXT,</v>
      </c>
    </row>
    <row r="142" spans="1:15" x14ac:dyDescent="0.25">
      <c r="A142" s="2" t="s">
        <v>139</v>
      </c>
      <c r="M142">
        <f t="shared" si="8"/>
        <v>16</v>
      </c>
      <c r="N142" t="str">
        <f t="shared" si="6"/>
        <v>orig_part</v>
      </c>
      <c r="O142" t="str">
        <f t="shared" si="7"/>
        <v>orig_part TEXT,</v>
      </c>
    </row>
    <row r="143" spans="1:15" x14ac:dyDescent="0.25">
      <c r="A143" s="2" t="s">
        <v>140</v>
      </c>
      <c r="M143">
        <f t="shared" si="8"/>
        <v>15</v>
      </c>
      <c r="N143" t="str">
        <f t="shared" si="6"/>
        <v>cst_part</v>
      </c>
      <c r="O143" t="str">
        <f t="shared" si="7"/>
        <v>cst_part TEXT,</v>
      </c>
    </row>
    <row r="144" spans="1:15" x14ac:dyDescent="0.25">
      <c r="A144" s="2" t="s">
        <v>141</v>
      </c>
      <c r="M144">
        <f t="shared" si="8"/>
        <v>13</v>
      </c>
      <c r="N144" t="str">
        <f t="shared" si="6"/>
        <v>mod_bc</v>
      </c>
      <c r="O144" t="str">
        <f t="shared" si="7"/>
        <v>mod_bc TEXT,</v>
      </c>
    </row>
    <row r="145" spans="1:15" x14ac:dyDescent="0.25">
      <c r="A145" s="2" t="s">
        <v>142</v>
      </c>
      <c r="M145">
        <f t="shared" si="8"/>
        <v>11</v>
      </c>
      <c r="N145" t="str">
        <f t="shared" si="6"/>
        <v>v_bc</v>
      </c>
      <c r="O145" t="str">
        <f t="shared" si="7"/>
        <v>v_bc TEXT,</v>
      </c>
    </row>
    <row r="146" spans="1:15" x14ac:dyDescent="0.25">
      <c r="A146" s="2" t="s">
        <v>143</v>
      </c>
      <c r="M146">
        <f t="shared" si="8"/>
        <v>13</v>
      </c>
      <c r="N146" t="str">
        <f t="shared" si="6"/>
        <v>red_bc</v>
      </c>
      <c r="O146" t="str">
        <f t="shared" si="7"/>
        <v>red_bc TEXT,</v>
      </c>
    </row>
    <row r="147" spans="1:15" x14ac:dyDescent="0.25">
      <c r="A147" s="2" t="s">
        <v>144</v>
      </c>
      <c r="M147">
        <f t="shared" si="8"/>
        <v>16</v>
      </c>
      <c r="N147" t="str">
        <f t="shared" si="6"/>
        <v>icms_part</v>
      </c>
      <c r="O147" t="str">
        <f t="shared" si="7"/>
        <v>icms_part TEXT,</v>
      </c>
    </row>
    <row r="148" spans="1:15" x14ac:dyDescent="0.25">
      <c r="A148" s="2" t="s">
        <v>145</v>
      </c>
      <c r="M148">
        <f t="shared" si="8"/>
        <v>18</v>
      </c>
      <c r="N148" t="str">
        <f t="shared" si="6"/>
        <v>v_icms_part</v>
      </c>
      <c r="O148" t="str">
        <f t="shared" si="7"/>
        <v>v_icms_part TEXT,</v>
      </c>
    </row>
    <row r="149" spans="1:15" x14ac:dyDescent="0.25">
      <c r="A149" s="2" t="s">
        <v>146</v>
      </c>
      <c r="M149">
        <f t="shared" si="8"/>
        <v>15</v>
      </c>
      <c r="N149" t="str">
        <f t="shared" si="6"/>
        <v>mod_bcst</v>
      </c>
      <c r="O149" t="str">
        <f t="shared" si="7"/>
        <v>mod_bcst TEXT,</v>
      </c>
    </row>
    <row r="150" spans="1:15" x14ac:dyDescent="0.25">
      <c r="A150" s="2" t="s">
        <v>147</v>
      </c>
      <c r="M150">
        <f t="shared" si="8"/>
        <v>18</v>
      </c>
      <c r="N150" t="str">
        <f t="shared" si="6"/>
        <v>mva_st_part</v>
      </c>
      <c r="O150" t="str">
        <f t="shared" si="7"/>
        <v>mva_st_part TEXT,</v>
      </c>
    </row>
    <row r="151" spans="1:15" x14ac:dyDescent="0.25">
      <c r="A151" s="2" t="s">
        <v>148</v>
      </c>
      <c r="M151">
        <f t="shared" si="8"/>
        <v>16</v>
      </c>
      <c r="N151" t="str">
        <f t="shared" si="6"/>
        <v>red_bc_st</v>
      </c>
      <c r="O151" t="str">
        <f t="shared" si="7"/>
        <v>red_bc_st TEXT,</v>
      </c>
    </row>
    <row r="152" spans="1:15" x14ac:dyDescent="0.25">
      <c r="A152" s="2" t="s">
        <v>149</v>
      </c>
      <c r="M152">
        <f t="shared" si="8"/>
        <v>17</v>
      </c>
      <c r="N152" t="str">
        <f t="shared" si="6"/>
        <v>bc_st_part</v>
      </c>
      <c r="O152" t="str">
        <f t="shared" si="7"/>
        <v>bc_st_part TEXT,</v>
      </c>
    </row>
    <row r="153" spans="1:15" x14ac:dyDescent="0.25">
      <c r="A153" s="2" t="s">
        <v>150</v>
      </c>
      <c r="M153">
        <f t="shared" si="8"/>
        <v>14</v>
      </c>
      <c r="N153" t="str">
        <f t="shared" si="6"/>
        <v>icms_st</v>
      </c>
      <c r="O153" t="str">
        <f t="shared" si="7"/>
        <v>icms_st TEXT,</v>
      </c>
    </row>
    <row r="154" spans="1:15" x14ac:dyDescent="0.25">
      <c r="A154" s="2" t="s">
        <v>151</v>
      </c>
      <c r="M154">
        <f t="shared" si="8"/>
        <v>12</v>
      </c>
      <c r="N154" t="str">
        <f t="shared" si="6"/>
        <v>pBCOp</v>
      </c>
      <c r="O154" t="str">
        <f t="shared" si="7"/>
        <v>pBCOp TEXT,</v>
      </c>
    </row>
    <row r="155" spans="1:15" x14ac:dyDescent="0.25">
      <c r="A155" s="2" t="s">
        <v>152</v>
      </c>
      <c r="M155">
        <f t="shared" si="8"/>
        <v>12</v>
      </c>
      <c r="N155" t="str">
        <f t="shared" si="6"/>
        <v>uf_st</v>
      </c>
      <c r="O155" t="str">
        <f t="shared" si="7"/>
        <v>uf_st TEXT,</v>
      </c>
    </row>
    <row r="156" spans="1:15" x14ac:dyDescent="0.25">
      <c r="A156" s="2" t="s">
        <v>153</v>
      </c>
      <c r="M156">
        <f t="shared" si="8"/>
        <v>14</v>
      </c>
      <c r="N156" t="str">
        <f t="shared" si="6"/>
        <v>orig_st</v>
      </c>
      <c r="O156" t="str">
        <f t="shared" si="7"/>
        <v>orig_st TEXT,</v>
      </c>
    </row>
    <row r="157" spans="1:15" x14ac:dyDescent="0.25">
      <c r="A157" s="2" t="s">
        <v>154</v>
      </c>
      <c r="M157">
        <f t="shared" si="8"/>
        <v>13</v>
      </c>
      <c r="N157" t="str">
        <f t="shared" si="6"/>
        <v>cst_st</v>
      </c>
      <c r="O157" t="str">
        <f t="shared" si="7"/>
        <v>cst_st TEXT,</v>
      </c>
    </row>
    <row r="158" spans="1:15" x14ac:dyDescent="0.25">
      <c r="A158" s="2" t="s">
        <v>155</v>
      </c>
      <c r="M158">
        <f t="shared" si="8"/>
        <v>16</v>
      </c>
      <c r="N158" t="str">
        <f t="shared" si="6"/>
        <v>bc_st_ret</v>
      </c>
      <c r="O158" t="str">
        <f t="shared" si="7"/>
        <v>bc_st_ret TEXT,</v>
      </c>
    </row>
    <row r="159" spans="1:15" x14ac:dyDescent="0.25">
      <c r="A159" s="2" t="s">
        <v>156</v>
      </c>
      <c r="M159">
        <f t="shared" si="8"/>
        <v>9</v>
      </c>
      <c r="N159" t="str">
        <f t="shared" si="6"/>
        <v>st</v>
      </c>
      <c r="O159" t="str">
        <f t="shared" si="7"/>
        <v>st TEXT,</v>
      </c>
    </row>
    <row r="160" spans="1:15" x14ac:dyDescent="0.25">
      <c r="A160" s="2" t="s">
        <v>157</v>
      </c>
      <c r="M160">
        <f t="shared" si="8"/>
        <v>11</v>
      </c>
      <c r="N160" t="str">
        <f t="shared" si="6"/>
        <v>v_st</v>
      </c>
      <c r="O160" t="str">
        <f t="shared" si="7"/>
        <v>v_st TEXT,</v>
      </c>
    </row>
    <row r="161" spans="1:15" x14ac:dyDescent="0.25">
      <c r="A161" s="2" t="s">
        <v>158</v>
      </c>
      <c r="M161">
        <f t="shared" si="8"/>
        <v>15</v>
      </c>
      <c r="N161" t="str">
        <f t="shared" si="6"/>
        <v>v_st_ret</v>
      </c>
      <c r="O161" t="str">
        <f t="shared" si="7"/>
        <v>v_st_ret TEXT,</v>
      </c>
    </row>
    <row r="162" spans="1:15" x14ac:dyDescent="0.25">
      <c r="A162" s="2" t="s">
        <v>159</v>
      </c>
      <c r="M162">
        <f t="shared" si="8"/>
        <v>20</v>
      </c>
      <c r="N162" t="str">
        <f t="shared" si="6"/>
        <v>v_bcfcpst_ret</v>
      </c>
      <c r="O162" t="str">
        <f t="shared" si="7"/>
        <v>v_bcfcpst_ret TEXT,</v>
      </c>
    </row>
    <row r="163" spans="1:15" x14ac:dyDescent="0.25">
      <c r="A163" s="2" t="s">
        <v>160</v>
      </c>
      <c r="M163">
        <f t="shared" si="8"/>
        <v>18</v>
      </c>
      <c r="N163" t="str">
        <f t="shared" si="6"/>
        <v>p_fcpst_ret</v>
      </c>
      <c r="O163" t="str">
        <f t="shared" si="7"/>
        <v>p_fcpst_ret TEXT,</v>
      </c>
    </row>
    <row r="164" spans="1:15" x14ac:dyDescent="0.25">
      <c r="A164" s="2" t="s">
        <v>161</v>
      </c>
      <c r="M164">
        <f t="shared" si="8"/>
        <v>18</v>
      </c>
      <c r="N164" t="str">
        <f t="shared" si="6"/>
        <v>v_fcpst_ret</v>
      </c>
      <c r="O164" t="str">
        <f t="shared" si="7"/>
        <v>v_fcpst_ret TEXT,</v>
      </c>
    </row>
    <row r="165" spans="1:15" x14ac:dyDescent="0.25">
      <c r="A165" s="2" t="s">
        <v>162</v>
      </c>
      <c r="M165">
        <f t="shared" si="8"/>
        <v>18</v>
      </c>
      <c r="N165" t="str">
        <f t="shared" si="6"/>
        <v>v_bcst_dest</v>
      </c>
      <c r="O165" t="str">
        <f t="shared" si="7"/>
        <v>v_bcst_dest TEXT,</v>
      </c>
    </row>
    <row r="166" spans="1:15" x14ac:dyDescent="0.25">
      <c r="A166" s="2" t="s">
        <v>163</v>
      </c>
      <c r="M166">
        <f t="shared" si="8"/>
        <v>21</v>
      </c>
      <c r="N166" t="str">
        <f t="shared" si="6"/>
        <v>v_icms_st_dest</v>
      </c>
      <c r="O166" t="str">
        <f t="shared" si="7"/>
        <v>v_icms_st_dest TEXT,</v>
      </c>
    </row>
    <row r="167" spans="1:15" x14ac:dyDescent="0.25">
      <c r="A167" s="2" t="s">
        <v>164</v>
      </c>
      <c r="M167">
        <f t="shared" si="8"/>
        <v>18</v>
      </c>
      <c r="N167" t="str">
        <f t="shared" si="6"/>
        <v>p_redbcefet</v>
      </c>
      <c r="O167" t="str">
        <f t="shared" si="7"/>
        <v>p_redbcefet TEXT,</v>
      </c>
    </row>
    <row r="168" spans="1:15" x14ac:dyDescent="0.25">
      <c r="A168" s="2" t="s">
        <v>165</v>
      </c>
      <c r="M168">
        <f t="shared" si="8"/>
        <v>15</v>
      </c>
      <c r="N168" t="str">
        <f t="shared" si="6"/>
        <v>v_bcefet</v>
      </c>
      <c r="O168" t="str">
        <f t="shared" si="7"/>
        <v>v_bcefet TEXT,</v>
      </c>
    </row>
    <row r="169" spans="1:15" x14ac:dyDescent="0.25">
      <c r="A169" s="2" t="s">
        <v>166</v>
      </c>
      <c r="M169">
        <f t="shared" si="8"/>
        <v>18</v>
      </c>
      <c r="N169" t="str">
        <f t="shared" si="6"/>
        <v>p_icms_efet</v>
      </c>
      <c r="O169" t="str">
        <f t="shared" si="7"/>
        <v>p_icms_efet TEXT,</v>
      </c>
    </row>
    <row r="170" spans="1:15" x14ac:dyDescent="0.25">
      <c r="A170" s="2" t="s">
        <v>167</v>
      </c>
      <c r="M170">
        <f t="shared" si="8"/>
        <v>18</v>
      </c>
      <c r="N170" t="str">
        <f t="shared" si="6"/>
        <v>v_icms_efet</v>
      </c>
      <c r="O170" t="str">
        <f t="shared" si="7"/>
        <v>v_icms_efet TEXT,</v>
      </c>
    </row>
    <row r="171" spans="1:15" x14ac:dyDescent="0.25">
      <c r="A171" s="2" t="s">
        <v>168</v>
      </c>
      <c r="M171">
        <f t="shared" si="8"/>
        <v>14</v>
      </c>
      <c r="N171" t="str">
        <f t="shared" si="6"/>
        <v>cst_ipi</v>
      </c>
      <c r="O171" t="str">
        <f t="shared" si="7"/>
        <v>cst_ipi TEXT,</v>
      </c>
    </row>
    <row r="172" spans="1:15" x14ac:dyDescent="0.25">
      <c r="A172" s="2" t="s">
        <v>169</v>
      </c>
      <c r="M172">
        <f t="shared" si="8"/>
        <v>13</v>
      </c>
      <c r="N172" t="str">
        <f t="shared" si="6"/>
        <v>bc_ipi</v>
      </c>
      <c r="O172" t="str">
        <f t="shared" si="7"/>
        <v>bc_ipi TEXT,</v>
      </c>
    </row>
    <row r="173" spans="1:15" x14ac:dyDescent="0.25">
      <c r="A173" s="2" t="s">
        <v>170</v>
      </c>
      <c r="M173">
        <f t="shared" si="8"/>
        <v>12</v>
      </c>
      <c r="N173" t="str">
        <f t="shared" si="6"/>
        <v>p_ipi</v>
      </c>
      <c r="O173" t="str">
        <f t="shared" si="7"/>
        <v>p_ipi TEXT,</v>
      </c>
    </row>
    <row r="174" spans="1:15" x14ac:dyDescent="0.25">
      <c r="A174" s="2" t="s">
        <v>171</v>
      </c>
      <c r="M174">
        <f t="shared" si="8"/>
        <v>17</v>
      </c>
      <c r="N174" t="str">
        <f t="shared" si="6"/>
        <v>q_unid_ipi</v>
      </c>
      <c r="O174" t="str">
        <f t="shared" si="7"/>
        <v>q_unid_ipi TEXT,</v>
      </c>
    </row>
    <row r="175" spans="1:15" x14ac:dyDescent="0.25">
      <c r="A175" s="2" t="s">
        <v>172</v>
      </c>
      <c r="M175">
        <f t="shared" si="8"/>
        <v>17</v>
      </c>
      <c r="N175" t="str">
        <f t="shared" si="6"/>
        <v>v_unid_ipi</v>
      </c>
      <c r="O175" t="str">
        <f t="shared" si="7"/>
        <v>v_unid_ipi TEXT,</v>
      </c>
    </row>
    <row r="176" spans="1:15" x14ac:dyDescent="0.25">
      <c r="A176" s="2" t="s">
        <v>173</v>
      </c>
      <c r="M176">
        <f t="shared" si="8"/>
        <v>12</v>
      </c>
      <c r="N176" t="str">
        <f t="shared" si="6"/>
        <v>v_ipi</v>
      </c>
      <c r="O176" t="str">
        <f t="shared" si="7"/>
        <v>v_ipi TEXT,</v>
      </c>
    </row>
    <row r="177" spans="1:15" x14ac:dyDescent="0.25">
      <c r="A177" s="2" t="s">
        <v>174</v>
      </c>
      <c r="M177">
        <f t="shared" si="8"/>
        <v>14</v>
      </c>
      <c r="N177" t="str">
        <f t="shared" si="6"/>
        <v>cst_int</v>
      </c>
      <c r="O177" t="str">
        <f t="shared" si="7"/>
        <v>cst_int TEXT,</v>
      </c>
    </row>
    <row r="178" spans="1:15" x14ac:dyDescent="0.25">
      <c r="A178" s="2" t="s">
        <v>175</v>
      </c>
      <c r="M178">
        <f t="shared" si="8"/>
        <v>14</v>
      </c>
      <c r="N178" t="str">
        <f t="shared" si="6"/>
        <v>v_bc_ii</v>
      </c>
      <c r="O178" t="str">
        <f t="shared" si="7"/>
        <v>v_bc_ii TEXT,</v>
      </c>
    </row>
    <row r="179" spans="1:15" x14ac:dyDescent="0.25">
      <c r="A179" s="2" t="s">
        <v>176</v>
      </c>
      <c r="M179">
        <f t="shared" si="8"/>
        <v>17</v>
      </c>
      <c r="N179" t="str">
        <f t="shared" si="6"/>
        <v>v_desp_adu</v>
      </c>
      <c r="O179" t="str">
        <f t="shared" si="7"/>
        <v>v_desp_adu TEXT,</v>
      </c>
    </row>
    <row r="180" spans="1:15" x14ac:dyDescent="0.25">
      <c r="A180" s="2" t="s">
        <v>177</v>
      </c>
      <c r="M180">
        <f t="shared" si="8"/>
        <v>11</v>
      </c>
      <c r="N180" t="str">
        <f t="shared" si="6"/>
        <v>v_ii</v>
      </c>
      <c r="O180" t="str">
        <f t="shared" si="7"/>
        <v>v_ii TEXT,</v>
      </c>
    </row>
    <row r="181" spans="1:15" x14ac:dyDescent="0.25">
      <c r="A181" s="2" t="s">
        <v>178</v>
      </c>
      <c r="M181">
        <f t="shared" si="8"/>
        <v>12</v>
      </c>
      <c r="N181" t="str">
        <f t="shared" ref="N181:N205" si="9">MID(A181,7,M181-7)</f>
        <v>v_iof</v>
      </c>
      <c r="O181" t="str">
        <f t="shared" si="7"/>
        <v>v_iof TEXT,</v>
      </c>
    </row>
    <row r="182" spans="1:15" x14ac:dyDescent="0.25">
      <c r="A182" s="2" t="s">
        <v>179</v>
      </c>
      <c r="M182">
        <f t="shared" si="8"/>
        <v>15</v>
      </c>
      <c r="N182" t="str">
        <f t="shared" si="9"/>
        <v>v_bc_iss</v>
      </c>
      <c r="O182" t="str">
        <f t="shared" si="7"/>
        <v>v_bc_iss TEXT,</v>
      </c>
    </row>
    <row r="183" spans="1:15" x14ac:dyDescent="0.25">
      <c r="A183" s="2" t="s">
        <v>180</v>
      </c>
      <c r="M183">
        <f t="shared" si="8"/>
        <v>14</v>
      </c>
      <c r="N183" t="str">
        <f t="shared" si="9"/>
        <v>alq_iss</v>
      </c>
      <c r="O183" t="str">
        <f t="shared" si="7"/>
        <v>alq_iss TEXT,</v>
      </c>
    </row>
    <row r="184" spans="1:15" x14ac:dyDescent="0.25">
      <c r="A184" s="2" t="s">
        <v>181</v>
      </c>
      <c r="M184">
        <f t="shared" si="8"/>
        <v>12</v>
      </c>
      <c r="N184" t="str">
        <f t="shared" si="9"/>
        <v>v_iss</v>
      </c>
      <c r="O184" t="str">
        <f t="shared" si="7"/>
        <v>v_iss TEXT,</v>
      </c>
    </row>
    <row r="185" spans="1:15" x14ac:dyDescent="0.25">
      <c r="A185" s="2" t="s">
        <v>182</v>
      </c>
      <c r="M185">
        <f t="shared" si="8"/>
        <v>19</v>
      </c>
      <c r="N185" t="str">
        <f t="shared" si="9"/>
        <v>c_mun_fg_iss</v>
      </c>
      <c r="O185" t="str">
        <f t="shared" si="7"/>
        <v>c_mun_fg_iss TEXT,</v>
      </c>
    </row>
    <row r="186" spans="1:15" x14ac:dyDescent="0.25">
      <c r="A186" s="2" t="s">
        <v>183</v>
      </c>
      <c r="M186">
        <f t="shared" si="8"/>
        <v>13</v>
      </c>
      <c r="N186" t="str">
        <f t="shared" si="9"/>
        <v>c_serv</v>
      </c>
      <c r="O186" t="str">
        <f t="shared" si="7"/>
        <v>c_serv TEXT,</v>
      </c>
    </row>
    <row r="187" spans="1:15" x14ac:dyDescent="0.25">
      <c r="A187" s="2" t="s">
        <v>184</v>
      </c>
      <c r="M187">
        <f t="shared" si="8"/>
        <v>16</v>
      </c>
      <c r="N187" t="str">
        <f t="shared" si="9"/>
        <v>v_deducao</v>
      </c>
      <c r="O187" t="str">
        <f t="shared" si="7"/>
        <v>v_deducao TEXT,</v>
      </c>
    </row>
    <row r="188" spans="1:15" x14ac:dyDescent="0.25">
      <c r="A188" s="2" t="s">
        <v>185</v>
      </c>
      <c r="M188">
        <f t="shared" si="8"/>
        <v>14</v>
      </c>
      <c r="N188" t="str">
        <f t="shared" si="9"/>
        <v>v_outro</v>
      </c>
      <c r="O188" t="str">
        <f t="shared" si="7"/>
        <v>v_outro TEXT,</v>
      </c>
    </row>
    <row r="189" spans="1:15" x14ac:dyDescent="0.25">
      <c r="A189" s="2" t="s">
        <v>186</v>
      </c>
      <c r="M189">
        <f t="shared" si="8"/>
        <v>17</v>
      </c>
      <c r="N189" t="str">
        <f t="shared" si="9"/>
        <v>v_desc_inc</v>
      </c>
      <c r="O189" t="str">
        <f t="shared" si="7"/>
        <v>v_desc_inc TEXT,</v>
      </c>
    </row>
    <row r="190" spans="1:15" x14ac:dyDescent="0.25">
      <c r="A190" s="2" t="s">
        <v>187</v>
      </c>
      <c r="M190">
        <f t="shared" si="8"/>
        <v>18</v>
      </c>
      <c r="N190" t="str">
        <f t="shared" si="9"/>
        <v>v_desc_cond</v>
      </c>
      <c r="O190" t="str">
        <f t="shared" si="7"/>
        <v>v_desc_cond TEXT,</v>
      </c>
    </row>
    <row r="191" spans="1:15" x14ac:dyDescent="0.25">
      <c r="A191" s="2" t="s">
        <v>188</v>
      </c>
      <c r="M191">
        <f t="shared" si="8"/>
        <v>16</v>
      </c>
      <c r="N191" t="str">
        <f t="shared" si="9"/>
        <v>v_iss_ret</v>
      </c>
      <c r="O191" t="str">
        <f t="shared" si="7"/>
        <v>v_iss_ret TEXT,</v>
      </c>
    </row>
    <row r="192" spans="1:15" x14ac:dyDescent="0.25">
      <c r="A192" s="2" t="s">
        <v>189</v>
      </c>
      <c r="M192">
        <f t="shared" si="8"/>
        <v>14</v>
      </c>
      <c r="N192" t="str">
        <f t="shared" si="9"/>
        <v>ind_iss</v>
      </c>
      <c r="O192" t="str">
        <f t="shared" si="7"/>
        <v>ind_iss TEXT,</v>
      </c>
    </row>
    <row r="193" spans="1:15" x14ac:dyDescent="0.25">
      <c r="A193" s="2" t="s">
        <v>190</v>
      </c>
      <c r="M193">
        <f t="shared" si="8"/>
        <v>16</v>
      </c>
      <c r="N193" t="str">
        <f t="shared" si="9"/>
        <v>c_servico</v>
      </c>
      <c r="O193" t="str">
        <f t="shared" si="7"/>
        <v>c_servico TEXT,</v>
      </c>
    </row>
    <row r="194" spans="1:15" x14ac:dyDescent="0.25">
      <c r="A194" s="2" t="s">
        <v>191</v>
      </c>
      <c r="M194">
        <f t="shared" si="8"/>
        <v>12</v>
      </c>
      <c r="N194" t="str">
        <f t="shared" si="9"/>
        <v>c_mun</v>
      </c>
      <c r="O194" t="str">
        <f t="shared" ref="O194:O205" si="10">N194&amp;" TEXT,"</f>
        <v>c_mun TEXT,</v>
      </c>
    </row>
    <row r="195" spans="1:15" x14ac:dyDescent="0.25">
      <c r="A195" s="2" t="s">
        <v>192</v>
      </c>
      <c r="M195">
        <f t="shared" ref="M195:M205" si="11">SEARCH("=",A195,1)</f>
        <v>13</v>
      </c>
      <c r="N195" t="str">
        <f t="shared" si="9"/>
        <v>c_pais</v>
      </c>
      <c r="O195" t="str">
        <f t="shared" si="10"/>
        <v>c_pais TEXT,</v>
      </c>
    </row>
    <row r="196" spans="1:15" x14ac:dyDescent="0.25">
      <c r="A196" s="2" t="s">
        <v>193</v>
      </c>
      <c r="M196">
        <f t="shared" si="11"/>
        <v>17</v>
      </c>
      <c r="N196" t="str">
        <f t="shared" si="9"/>
        <v>n_processo</v>
      </c>
      <c r="O196" t="str">
        <f t="shared" si="10"/>
        <v>n_processo TEXT,</v>
      </c>
    </row>
    <row r="197" spans="1:15" x14ac:dyDescent="0.25">
      <c r="A197" s="2" t="s">
        <v>194</v>
      </c>
      <c r="M197">
        <f t="shared" si="11"/>
        <v>20</v>
      </c>
      <c r="N197" t="str">
        <f t="shared" si="9"/>
        <v>ind_incentivo</v>
      </c>
      <c r="O197" t="str">
        <f t="shared" si="10"/>
        <v>ind_incentivo TEXT,</v>
      </c>
    </row>
    <row r="198" spans="1:15" x14ac:dyDescent="0.25">
      <c r="A198" s="2" t="s">
        <v>195</v>
      </c>
      <c r="M198">
        <f t="shared" si="11"/>
        <v>14</v>
      </c>
      <c r="N198" t="str">
        <f t="shared" si="9"/>
        <v>cst_pis</v>
      </c>
      <c r="O198" t="str">
        <f t="shared" si="10"/>
        <v>cst_pis TEXT,</v>
      </c>
    </row>
    <row r="199" spans="1:15" x14ac:dyDescent="0.25">
      <c r="A199" s="2" t="s">
        <v>196</v>
      </c>
      <c r="M199">
        <f t="shared" si="11"/>
        <v>15</v>
      </c>
      <c r="N199" t="str">
        <f t="shared" si="9"/>
        <v>v_bc_pis</v>
      </c>
      <c r="O199" t="str">
        <f t="shared" si="10"/>
        <v>v_bc_pis TEXT,</v>
      </c>
    </row>
    <row r="200" spans="1:15" x14ac:dyDescent="0.25">
      <c r="A200" s="2" t="s">
        <v>197</v>
      </c>
      <c r="M200">
        <f t="shared" si="11"/>
        <v>12</v>
      </c>
      <c r="N200" t="str">
        <f t="shared" si="9"/>
        <v>p_pis</v>
      </c>
      <c r="O200" t="str">
        <f t="shared" si="10"/>
        <v>p_pis TEXT,</v>
      </c>
    </row>
    <row r="201" spans="1:15" x14ac:dyDescent="0.25">
      <c r="A201" s="2" t="s">
        <v>198</v>
      </c>
      <c r="M201">
        <f t="shared" si="11"/>
        <v>12</v>
      </c>
      <c r="N201" t="str">
        <f t="shared" si="9"/>
        <v>v_pis</v>
      </c>
      <c r="O201" t="str">
        <f t="shared" si="10"/>
        <v>v_pis TEXT,</v>
      </c>
    </row>
    <row r="202" spans="1:15" x14ac:dyDescent="0.25">
      <c r="A202" s="2" t="s">
        <v>199</v>
      </c>
      <c r="M202">
        <f t="shared" si="11"/>
        <v>17</v>
      </c>
      <c r="N202" t="str">
        <f t="shared" si="9"/>
        <v>cst_COFINS</v>
      </c>
      <c r="O202" t="str">
        <f t="shared" si="10"/>
        <v>cst_COFINS TEXT,</v>
      </c>
    </row>
    <row r="203" spans="1:15" x14ac:dyDescent="0.25">
      <c r="A203" s="2" t="s">
        <v>200</v>
      </c>
      <c r="M203">
        <f t="shared" si="11"/>
        <v>18</v>
      </c>
      <c r="N203" t="str">
        <f t="shared" si="9"/>
        <v>v_bc_COFINS</v>
      </c>
      <c r="O203" t="str">
        <f t="shared" si="10"/>
        <v>v_bc_COFINS TEXT,</v>
      </c>
    </row>
    <row r="204" spans="1:15" x14ac:dyDescent="0.25">
      <c r="A204" s="2" t="s">
        <v>201</v>
      </c>
      <c r="M204">
        <f t="shared" si="11"/>
        <v>15</v>
      </c>
      <c r="N204" t="str">
        <f t="shared" si="9"/>
        <v>p_COFINS</v>
      </c>
      <c r="O204" t="str">
        <f t="shared" si="10"/>
        <v>p_COFINS TEXT,</v>
      </c>
    </row>
    <row r="205" spans="1:15" x14ac:dyDescent="0.25">
      <c r="A205" t="s">
        <v>208</v>
      </c>
      <c r="M205">
        <f t="shared" si="11"/>
        <v>9</v>
      </c>
      <c r="N205" t="s">
        <v>214</v>
      </c>
      <c r="O205" t="str">
        <f t="shared" si="10"/>
        <v>v_COFINS TEXT,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EFA34-FB98-49F7-8F0E-A82FE39C3C16}">
  <sheetPr codeName="Sheet1"/>
  <dimension ref="A5:A43"/>
  <sheetViews>
    <sheetView tabSelected="1" topLeftCell="A16" workbookViewId="0">
      <selection activeCell="A36" sqref="A36:A43"/>
    </sheetView>
  </sheetViews>
  <sheetFormatPr defaultRowHeight="15" x14ac:dyDescent="0.25"/>
  <sheetData>
    <row r="5" spans="1:1" x14ac:dyDescent="0.25">
      <c r="A5" s="6" t="s">
        <v>215</v>
      </c>
    </row>
    <row r="6" spans="1:1" x14ac:dyDescent="0.25">
      <c r="A6" s="2" t="s">
        <v>216</v>
      </c>
    </row>
    <row r="7" spans="1:1" x14ac:dyDescent="0.25">
      <c r="A7" s="2" t="s">
        <v>217</v>
      </c>
    </row>
    <row r="8" spans="1:1" x14ac:dyDescent="0.25">
      <c r="A8" s="2" t="s">
        <v>218</v>
      </c>
    </row>
    <row r="9" spans="1:1" x14ac:dyDescent="0.25">
      <c r="A9" s="2" t="s">
        <v>219</v>
      </c>
    </row>
    <row r="10" spans="1:1" x14ac:dyDescent="0.25">
      <c r="A10" s="2" t="s">
        <v>220</v>
      </c>
    </row>
    <row r="11" spans="1:1" x14ac:dyDescent="0.25">
      <c r="A11" s="2" t="s">
        <v>221</v>
      </c>
    </row>
    <row r="16" spans="1:1" x14ac:dyDescent="0.25">
      <c r="A16" s="1" t="s">
        <v>223</v>
      </c>
    </row>
    <row r="17" spans="1:1" x14ac:dyDescent="0.25">
      <c r="A17" s="2" t="s">
        <v>224</v>
      </c>
    </row>
    <row r="18" spans="1:1" x14ac:dyDescent="0.25">
      <c r="A18" s="2" t="s">
        <v>225</v>
      </c>
    </row>
    <row r="19" spans="1:1" x14ac:dyDescent="0.25">
      <c r="A19" s="2" t="s">
        <v>226</v>
      </c>
    </row>
    <row r="20" spans="1:1" x14ac:dyDescent="0.25">
      <c r="A20" s="2" t="s">
        <v>227</v>
      </c>
    </row>
    <row r="21" spans="1:1" x14ac:dyDescent="0.25">
      <c r="A21" s="2" t="s">
        <v>228</v>
      </c>
    </row>
    <row r="22" spans="1:1" x14ac:dyDescent="0.25">
      <c r="A22" s="2" t="s">
        <v>229</v>
      </c>
    </row>
    <row r="23" spans="1:1" x14ac:dyDescent="0.25">
      <c r="A23" s="2" t="s">
        <v>230</v>
      </c>
    </row>
    <row r="26" spans="1:1" x14ac:dyDescent="0.25">
      <c r="A26" s="6" t="s">
        <v>231</v>
      </c>
    </row>
    <row r="27" spans="1:1" x14ac:dyDescent="0.25">
      <c r="A27" s="6" t="s">
        <v>232</v>
      </c>
    </row>
    <row r="28" spans="1:1" x14ac:dyDescent="0.25">
      <c r="A28" s="6" t="s">
        <v>233</v>
      </c>
    </row>
    <row r="29" spans="1:1" x14ac:dyDescent="0.25">
      <c r="A29" s="6" t="s">
        <v>234</v>
      </c>
    </row>
    <row r="30" spans="1:1" x14ac:dyDescent="0.25">
      <c r="A30" s="6" t="s">
        <v>235</v>
      </c>
    </row>
    <row r="31" spans="1:1" x14ac:dyDescent="0.25">
      <c r="A31" s="6" t="s">
        <v>236</v>
      </c>
    </row>
    <row r="32" spans="1:1" x14ac:dyDescent="0.25">
      <c r="A32" s="6" t="s">
        <v>237</v>
      </c>
    </row>
    <row r="33" spans="1:1" x14ac:dyDescent="0.25">
      <c r="A33" s="6" t="s">
        <v>238</v>
      </c>
    </row>
    <row r="36" spans="1:1" x14ac:dyDescent="0.25">
      <c r="A36" s="1" t="s">
        <v>239</v>
      </c>
    </row>
    <row r="37" spans="1:1" x14ac:dyDescent="0.25">
      <c r="A37" s="2" t="s">
        <v>240</v>
      </c>
    </row>
    <row r="38" spans="1:1" x14ac:dyDescent="0.25">
      <c r="A38" s="2" t="s">
        <v>241</v>
      </c>
    </row>
    <row r="39" spans="1:1" x14ac:dyDescent="0.25">
      <c r="A39" s="2" t="s">
        <v>242</v>
      </c>
    </row>
    <row r="40" spans="1:1" x14ac:dyDescent="0.25">
      <c r="A40" s="2" t="s">
        <v>243</v>
      </c>
    </row>
    <row r="41" spans="1:1" x14ac:dyDescent="0.25">
      <c r="A41" s="2" t="s">
        <v>244</v>
      </c>
    </row>
    <row r="42" spans="1:1" x14ac:dyDescent="0.25">
      <c r="A42" s="2" t="s">
        <v>245</v>
      </c>
    </row>
    <row r="43" spans="1:1" x14ac:dyDescent="0.25">
      <c r="A43" s="2" t="s">
        <v>246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dcterms:created xsi:type="dcterms:W3CDTF">2022-01-03T01:29:51Z</dcterms:created>
  <dcterms:modified xsi:type="dcterms:W3CDTF">2022-01-23T15:46:43Z</dcterms:modified>
</cp:coreProperties>
</file>